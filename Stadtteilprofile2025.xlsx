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oscar\PycharmProjects\DataAnalysis\hamburg-dashboard\"/>
    </mc:Choice>
  </mc:AlternateContent>
  <xr:revisionPtr revIDLastSave="0" documentId="8_{1BD10837-B0AA-4AB4-B918-6ABB9BDBA4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tadtteilprofile 2024" sheetId="5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91" i="554" l="1"/>
</calcChain>
</file>

<file path=xl/sharedStrings.xml><?xml version="1.0" encoding="utf-8"?>
<sst xmlns="http://schemas.openxmlformats.org/spreadsheetml/2006/main" count="343" uniqueCount="152">
  <si>
    <t>Bevölkerung</t>
  </si>
  <si>
    <t>Personen je Haushalt</t>
  </si>
  <si>
    <t>Stadtgebiet</t>
  </si>
  <si>
    <t>Hamburg-Altstadt</t>
  </si>
  <si>
    <t>HafenCity</t>
  </si>
  <si>
    <t>Neustadt</t>
  </si>
  <si>
    <t>St. Pauli</t>
  </si>
  <si>
    <t>St. Georg</t>
  </si>
  <si>
    <t>Hammerbrook</t>
  </si>
  <si>
    <t>Borgfelde</t>
  </si>
  <si>
    <t>Horn</t>
  </si>
  <si>
    <t>Billstedt</t>
  </si>
  <si>
    <t>Billbrook</t>
  </si>
  <si>
    <t>Rothenburgsort</t>
  </si>
  <si>
    <t>Veddel</t>
  </si>
  <si>
    <t>Wilhelmsburg</t>
  </si>
  <si>
    <t>Kleiner Grasbrook und Steinwerder</t>
  </si>
  <si>
    <t>Waltershof und Finkenwerder</t>
  </si>
  <si>
    <t>Altona-Altstadt</t>
  </si>
  <si>
    <t>Sternschanze</t>
  </si>
  <si>
    <t>Altona-Nord</t>
  </si>
  <si>
    <t>Ottensen</t>
  </si>
  <si>
    <t>Bahrenfeld</t>
  </si>
  <si>
    <t>Groß Flottbek</t>
  </si>
  <si>
    <t>Othmarschen</t>
  </si>
  <si>
    <t>Lurup</t>
  </si>
  <si>
    <t>Osdorf</t>
  </si>
  <si>
    <t>Nienstedten</t>
  </si>
  <si>
    <t>Blankenese</t>
  </si>
  <si>
    <t>Iserbrook</t>
  </si>
  <si>
    <t>Sülldorf</t>
  </si>
  <si>
    <t>Rissen</t>
  </si>
  <si>
    <t>Eimsbüttel</t>
  </si>
  <si>
    <t>Rotherbaum</t>
  </si>
  <si>
    <t>Harvestehude</t>
  </si>
  <si>
    <t>Hoheluft-West</t>
  </si>
  <si>
    <t>Lokstedt</t>
  </si>
  <si>
    <t>Niendorf</t>
  </si>
  <si>
    <t>Schnelsen</t>
  </si>
  <si>
    <t>Eidelstedt</t>
  </si>
  <si>
    <t>Stellingen</t>
  </si>
  <si>
    <t>Hoheluft-Ost</t>
  </si>
  <si>
    <t>Eppendorf</t>
  </si>
  <si>
    <t>Groß Borstel</t>
  </si>
  <si>
    <t>Alsterdorf</t>
  </si>
  <si>
    <t>Winterhude</t>
  </si>
  <si>
    <t>Uhlenhorst</t>
  </si>
  <si>
    <t>Hohenfelde</t>
  </si>
  <si>
    <t>Barmbek-Süd</t>
  </si>
  <si>
    <t>Dulsberg</t>
  </si>
  <si>
    <t>Barmbek-Nord</t>
  </si>
  <si>
    <t>Ohlsdorf</t>
  </si>
  <si>
    <t>Fuhlsbüttel</t>
  </si>
  <si>
    <t>Langenhorn</t>
  </si>
  <si>
    <t>Eilbek</t>
  </si>
  <si>
    <t>Wandsbek</t>
  </si>
  <si>
    <t>Marienthal</t>
  </si>
  <si>
    <t>Jenfeld</t>
  </si>
  <si>
    <t>Tonndorf</t>
  </si>
  <si>
    <t>Farmsen-Berne</t>
  </si>
  <si>
    <t>Bramfeld</t>
  </si>
  <si>
    <t>Steilshoop</t>
  </si>
  <si>
    <t>Wellingsbüttel</t>
  </si>
  <si>
    <t>Sasel</t>
  </si>
  <si>
    <t>Poppenbüttel</t>
  </si>
  <si>
    <t>Hummelsbüttel</t>
  </si>
  <si>
    <t>Lemsahl-Mellingstedt</t>
  </si>
  <si>
    <t>Duvenstedt</t>
  </si>
  <si>
    <t>Wohldorf-Ohlstedt</t>
  </si>
  <si>
    <t>Bergstedt</t>
  </si>
  <si>
    <t>Volksdorf</t>
  </si>
  <si>
    <t>Rahlstedt</t>
  </si>
  <si>
    <t>Lohbrügge</t>
  </si>
  <si>
    <t>Bergedorf</t>
  </si>
  <si>
    <t>Curslack</t>
  </si>
  <si>
    <t>Altengamme</t>
  </si>
  <si>
    <t>Neuengamme</t>
  </si>
  <si>
    <t>Kirchwerder</t>
  </si>
  <si>
    <t>Ochsenwerder</t>
  </si>
  <si>
    <t>Reitbrook</t>
  </si>
  <si>
    <t>Allermöhe</t>
  </si>
  <si>
    <t>Billwerder</t>
  </si>
  <si>
    <t>Moorfleet</t>
  </si>
  <si>
    <t>Tatenberg</t>
  </si>
  <si>
    <t>Spadenland</t>
  </si>
  <si>
    <t>Harburg</t>
  </si>
  <si>
    <t>Neuland und Gut Moor</t>
  </si>
  <si>
    <t>Wilstorf</t>
  </si>
  <si>
    <t>Rönneburg</t>
  </si>
  <si>
    <t>Langenbek</t>
  </si>
  <si>
    <t>Sinstorf</t>
  </si>
  <si>
    <t>Marmstorf</t>
  </si>
  <si>
    <t>Eißendorf</t>
  </si>
  <si>
    <t>Heimfeld</t>
  </si>
  <si>
    <t>Hausbruch</t>
  </si>
  <si>
    <t>Neugraben-Fischbek</t>
  </si>
  <si>
    <t>Francop</t>
  </si>
  <si>
    <t>Neuenfelde</t>
  </si>
  <si>
    <t>Cranz</t>
  </si>
  <si>
    <t>Wohnen</t>
  </si>
  <si>
    <t>Neuallermöhe</t>
  </si>
  <si>
    <t>Infrastruktur und Verkehr</t>
  </si>
  <si>
    <t>Hamm</t>
  </si>
  <si>
    <t>Moorburg und Altenwerder</t>
  </si>
  <si>
    <t>Anteil der unter 18-Jährigen in %</t>
  </si>
  <si>
    <t>Anteil der 65-Jährigen und Älteren in %</t>
  </si>
  <si>
    <t>Anteil der Ausländer: innen in %</t>
  </si>
  <si>
    <t>Anteil der Bevölkerung mit Migrations-hintergrund in %</t>
  </si>
  <si>
    <t>Anteil der unter 18-Jährigen mit Migrations-hintergrund in %</t>
  </si>
  <si>
    <t>Anteil der Einpersonen-haushalte in %</t>
  </si>
  <si>
    <t>Anteil der Haushalte mit Kindern in %</t>
  </si>
  <si>
    <t>Anteil der Haushalte von Allein-erziehenden in %</t>
  </si>
  <si>
    <t>Fläche in km²</t>
  </si>
  <si>
    <t>Bevölkerungs-dichte</t>
  </si>
  <si>
    <t>Bevölkerung und Haushalte 31.12.2024</t>
  </si>
  <si>
    <t>Bevölkerungsbewegung 2024</t>
  </si>
  <si>
    <t>Beschäftigten-quote in % (Dez 2024)</t>
  </si>
  <si>
    <t>Arbeitslosen-anteil in % (Dez 2024)</t>
  </si>
  <si>
    <t>Arbeitslosen-anteil Jüngerer in % (Dez 2024)</t>
  </si>
  <si>
    <t>Arbeitslosen-anteil Älterer in % (Dez 2024)</t>
  </si>
  <si>
    <t>Anteil der Leistungs-empfänger: innen nach SGB II in % (Dez 2024)</t>
  </si>
  <si>
    <t>Anteil der unter 15-Jährigen in Mindest-sicherung in % (Dez 2024)</t>
  </si>
  <si>
    <t>Einkommen je Steuer-pflichtigen in Euro (2021)</t>
  </si>
  <si>
    <t>Anteil der Wohnungen in Ein- und Zweifamilien-häusern in % (2024)</t>
  </si>
  <si>
    <t>Wohnungs-größe in m² (2024)</t>
  </si>
  <si>
    <t>Wohnfläche je Einwohner:in in m² (2024)</t>
  </si>
  <si>
    <t>Sozial-wohnungs-anteil in % (Jan 2025)</t>
  </si>
  <si>
    <t>Sozial-wohnungen mit Bindungs-auslauf bis 2030 in %</t>
  </si>
  <si>
    <t>Preise für Grundstücke in EUR/m² (Jan 2025)</t>
  </si>
  <si>
    <t>Preise für Ein- bzw Zwei-familien-häuser in EUR/m² (Jan 2025)</t>
  </si>
  <si>
    <t>Preise für Eigentums-wohnungen in EUR/m² (Jan 2025)</t>
  </si>
  <si>
    <t>Anteil der Schüler:innen in Stadtteil-schulen in % (2024/2025)</t>
  </si>
  <si>
    <t>Anteil der Schüler:innen in Gymnasien in % (2024/2025)</t>
  </si>
  <si>
    <t>PKW-Dichte (Jan 2025)</t>
  </si>
  <si>
    <t xml:space="preserve">.    </t>
  </si>
  <si>
    <t>x</t>
  </si>
  <si>
    <t>Personen je Geburt</t>
  </si>
  <si>
    <t>-</t>
  </si>
  <si>
    <t>Personen je Sterbefall</t>
  </si>
  <si>
    <t>Wanderungs-saldo je 100 Einwohner</t>
  </si>
  <si>
    <t>Personen je Bedarfs-gemein-schaften nach SGB II (Dez 2024)</t>
  </si>
  <si>
    <t>Anteil der Empfänger:innen von Grundsicherung in % der 65-Jährigen und Älteren</t>
  </si>
  <si>
    <t>Personen je Wohn-gebäude (2024)</t>
  </si>
  <si>
    <t>Personen je Wohnung (2024)</t>
  </si>
  <si>
    <t>Personen je Kindertageseinrichtung (März 2025)</t>
  </si>
  <si>
    <t>.</t>
  </si>
  <si>
    <t>Personen je Grundschule (2024/2025)</t>
  </si>
  <si>
    <t>Personen je Artz:in (Jan 2025)</t>
  </si>
  <si>
    <t>Personen je Allgemein-arzt:in (Jan 2025)</t>
  </si>
  <si>
    <t>Personen je Zahn-arzt:in (Dez 2024)</t>
  </si>
  <si>
    <t>Personen je Apotheke (Dez 2024)</t>
  </si>
  <si>
    <t>Elektro-PKW-Dichte  (Jan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</si>
</sst>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###\ ###\ ##0"/>
    <numFmt numFmtId="166" formatCode="#\ ###\ ##0\ \ \ \ ;\-#\ ###\ ##0\ \ \ \ ;\-\ \ \ \ "/>
    <numFmt numFmtId="167" formatCode="###\ ##0.0\ \ \ \ ;\-#####0.0\ \ \ \ ;\-"/>
    <numFmt numFmtId="168" formatCode="###\ ###"/>
    <numFmt numFmtId="169" formatCode="###\ ##\x\ \ \ \ \ \ "/>
    <numFmt numFmtId="170" formatCode="\+* ?\ #\ ###\ ##0\ \ \ \ ;\ \–* ?\ #\ ###\ ##0\ \ \ \ ;\ \-\ \ \ \ "/>
    <numFmt numFmtId="171" formatCode="###\ ###\ ##0.0"/>
  </numFmts>
  <fonts count="12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MS Sans Serif"/>
      <family val="2"/>
    </font>
    <font>
      <sz val="10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4" fillId="0" borderId="0"/>
    <xf numFmtId="0" fontId="5" fillId="0" borderId="0"/>
    <xf numFmtId="0" fontId="3" fillId="0" borderId="0"/>
    <xf numFmtId="0" fontId="7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35">
    <xf numFmtId="0" fontId="0" fillId="0" borderId="0" xfId="0"/>
    <xf numFmtId="0" fontId="8" fillId="0" borderId="0" xfId="0" applyFont="1"/>
    <xf numFmtId="166" fontId="5" fillId="0" borderId="0" xfId="0" applyNumberFormat="1" applyFont="1"/>
    <xf numFmtId="0" fontId="10" fillId="2" borderId="7" xfId="2" applyFont="1" applyFill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164" fontId="10" fillId="2" borderId="8" xfId="2" applyNumberFormat="1" applyFont="1" applyFill="1" applyBorder="1" applyAlignment="1">
      <alignment horizontal="center" vertical="center" wrapText="1"/>
    </xf>
    <xf numFmtId="164" fontId="10" fillId="2" borderId="9" xfId="2" applyNumberFormat="1" applyFont="1" applyFill="1" applyBorder="1" applyAlignment="1">
      <alignment horizontal="center" vertical="center" wrapText="1"/>
    </xf>
    <xf numFmtId="164" fontId="10" fillId="2" borderId="10" xfId="2" applyNumberFormat="1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 wrapText="1"/>
    </xf>
    <xf numFmtId="0" fontId="10" fillId="2" borderId="12" xfId="2" applyFont="1" applyFill="1" applyBorder="1" applyAlignment="1">
      <alignment horizontal="center" vertical="center" wrapText="1"/>
    </xf>
    <xf numFmtId="167" fontId="5" fillId="0" borderId="0" xfId="0" applyNumberFormat="1" applyFont="1"/>
    <xf numFmtId="166" fontId="6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 indent="1"/>
    </xf>
    <xf numFmtId="164" fontId="5" fillId="0" borderId="0" xfId="0" applyNumberFormat="1" applyFont="1"/>
    <xf numFmtId="170" fontId="5" fillId="0" borderId="0" xfId="0" applyNumberFormat="1" applyFont="1"/>
    <xf numFmtId="166" fontId="5" fillId="0" borderId="0" xfId="0" applyNumberFormat="1" applyFont="1" applyAlignment="1">
      <alignment vertical="center"/>
    </xf>
    <xf numFmtId="0" fontId="5" fillId="0" borderId="0" xfId="0" applyFont="1"/>
    <xf numFmtId="168" fontId="5" fillId="0" borderId="0" xfId="0" applyNumberFormat="1" applyFont="1"/>
    <xf numFmtId="165" fontId="8" fillId="0" borderId="0" xfId="0" applyNumberFormat="1" applyFont="1"/>
    <xf numFmtId="165" fontId="5" fillId="0" borderId="0" xfId="0" applyNumberFormat="1" applyFont="1"/>
    <xf numFmtId="0" fontId="10" fillId="2" borderId="10" xfId="2" applyFont="1" applyFill="1" applyBorder="1" applyAlignment="1">
      <alignment horizontal="center" vertical="center" wrapText="1"/>
    </xf>
    <xf numFmtId="171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6" fillId="2" borderId="6" xfId="2" applyFont="1" applyFill="1" applyBorder="1" applyAlignment="1">
      <alignment vertical="center" wrapText="1"/>
    </xf>
    <xf numFmtId="0" fontId="9" fillId="2" borderId="2" xfId="2" applyFont="1" applyFill="1" applyBorder="1" applyAlignment="1">
      <alignment vertical="center" wrapText="1"/>
    </xf>
    <xf numFmtId="165" fontId="9" fillId="2" borderId="2" xfId="2" applyNumberFormat="1" applyFont="1" applyFill="1" applyBorder="1" applyAlignment="1">
      <alignment horizontal="center" vertical="center"/>
    </xf>
    <xf numFmtId="0" fontId="5" fillId="2" borderId="3" xfId="2" applyFill="1" applyBorder="1" applyAlignment="1">
      <alignment horizontal="center" vertical="center"/>
    </xf>
    <xf numFmtId="0" fontId="5" fillId="2" borderId="4" xfId="2" applyFill="1" applyBorder="1" applyAlignment="1">
      <alignment horizontal="center" vertical="center"/>
    </xf>
    <xf numFmtId="165" fontId="9" fillId="2" borderId="3" xfId="2" applyNumberFormat="1" applyFont="1" applyFill="1" applyBorder="1" applyAlignment="1">
      <alignment horizontal="center" vertical="center"/>
    </xf>
    <xf numFmtId="165" fontId="9" fillId="2" borderId="2" xfId="2" applyNumberFormat="1" applyFont="1" applyFill="1" applyBorder="1" applyAlignment="1">
      <alignment horizontal="center" vertical="center" wrapText="1"/>
    </xf>
    <xf numFmtId="165" fontId="9" fillId="2" borderId="3" xfId="2" applyNumberFormat="1" applyFont="1" applyFill="1" applyBorder="1" applyAlignment="1">
      <alignment horizontal="center" vertical="center" wrapText="1"/>
    </xf>
    <xf numFmtId="165" fontId="9" fillId="2" borderId="4" xfId="2" applyNumberFormat="1" applyFont="1" applyFill="1" applyBorder="1" applyAlignment="1">
      <alignment horizontal="center" vertical="center" wrapText="1"/>
    </xf>
    <xf numFmtId="165" fontId="11" fillId="2" borderId="5" xfId="2" applyNumberFormat="1" applyFont="1" applyFill="1" applyBorder="1" applyAlignment="1">
      <alignment horizontal="center" vertical="center"/>
    </xf>
    <xf numFmtId="165" fontId="11" fillId="2" borderId="1" xfId="2" applyNumberFormat="1" applyFont="1" applyFill="1" applyBorder="1" applyAlignment="1">
      <alignment horizontal="center" vertical="center"/>
    </xf>
  </cellXfs>
  <cellStyles count="18">
    <cellStyle name="Standard" xfId="0" builtinId="0"/>
    <cellStyle name="Standard 2" xfId="1" xr:uid="{00000000-0005-0000-0000-000001000000}"/>
    <cellStyle name="Standard 2 2" xfId="7" xr:uid="{00000000-0005-0000-0000-000001000000}"/>
    <cellStyle name="Standard 2 2 2" xfId="15" xr:uid="{00000000-0005-0000-0000-000001000000}"/>
    <cellStyle name="Standard 2 3" xfId="3" xr:uid="{00000000-0005-0000-0000-000002000000}"/>
    <cellStyle name="Standard 2 3 2" xfId="8" xr:uid="{00000000-0005-0000-0000-000002000000}"/>
    <cellStyle name="Standard 2 3 2 2" xfId="16" xr:uid="{00000000-0005-0000-0000-000002000000}"/>
    <cellStyle name="Standard 2 3 3" xfId="12" xr:uid="{00000000-0005-0000-0000-000002000000}"/>
    <cellStyle name="Standard 2 4" xfId="11" xr:uid="{00000000-0005-0000-0000-000001000000}"/>
    <cellStyle name="Standard 3" xfId="2" xr:uid="{00000000-0005-0000-0000-000003000000}"/>
    <cellStyle name="Standard 3 2" xfId="4" xr:uid="{00000000-0005-0000-0000-000004000000}"/>
    <cellStyle name="Standard 4" xfId="6" xr:uid="{00000000-0005-0000-0000-00002F000000}"/>
    <cellStyle name="Standard 5" xfId="5" xr:uid="{00000000-0005-0000-0000-000036000000}"/>
    <cellStyle name="Standard 5 2" xfId="14" xr:uid="{00000000-0005-0000-0000-000036000000}"/>
    <cellStyle name="Standard 6" xfId="10" xr:uid="{00000000-0005-0000-0000-00002F000000}"/>
    <cellStyle name="Standard 7" xfId="9" xr:uid="{00000000-0005-0000-0000-00003A000000}"/>
    <cellStyle name="Standard 8" xfId="17" xr:uid="{00000000-0005-0000-0000-00002F000000}"/>
    <cellStyle name="Standard 9" xfId="13" xr:uid="{00000000-0005-0000-0000-00003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FA5A8"/>
      <rgbColor rgb="007A4E20"/>
      <rgbColor rgb="00779345"/>
      <rgbColor rgb="0085A3CD"/>
      <rgbColor rgb="00F5D262"/>
      <rgbColor rgb="009EB4D5"/>
      <rgbColor rgb="00005BA0"/>
      <rgbColor rgb="006C92C2"/>
      <rgbColor rgb="00F3C000"/>
      <rgbColor rgb="00FFE193"/>
      <rgbColor rgb="00BCC1C5"/>
      <rgbColor rgb="00FFE7AB"/>
      <rgbColor rgb="0090A665"/>
      <rgbColor rgb="00F6D77B"/>
      <rgbColor rgb="000068A9"/>
      <rgbColor rgb="00F4C621"/>
      <rgbColor rgb="00B5123E"/>
      <rgbColor rgb="00FBB155"/>
      <rgbColor rgb="00FCC57F"/>
      <rgbColor rgb="00FDD8AA"/>
      <rgbColor rgb="000F4B91"/>
      <rgbColor rgb="003F6FA7"/>
      <rgbColor rgb="006F93BD"/>
      <rgbColor rgb="009FB7D3"/>
      <rgbColor rgb="006E7276"/>
      <rgbColor rgb="00E9EDF6"/>
      <rgbColor rgb="00A8AAAD"/>
      <rgbColor rgb="00C5C7C8"/>
      <rgbColor rgb="00FFFFFF"/>
      <rgbColor rgb="00000000"/>
      <rgbColor rgb="00993366"/>
      <rgbColor rgb="00EAEAEA"/>
      <rgbColor rgb="004E83BA"/>
      <rgbColor rgb="00A88058"/>
      <rgbColor rgb="00B79470"/>
      <rgbColor rgb="00C6A889"/>
      <rgbColor rgb="00996F43"/>
      <rgbColor rgb="006B3F13"/>
      <rgbColor rgb="00895D30"/>
      <rgbColor rgb="00E3D2C0"/>
      <rgbColor rgb="009DB178"/>
      <rgbColor rgb="00ABBC89"/>
      <rgbColor rgb="00C5D2B1"/>
      <rgbColor rgb="00D3DCEE"/>
      <rgbColor rgb="00E2E8D8"/>
      <rgbColor rgb="00FFF3D6"/>
      <rgbColor rgb="00F5CB45"/>
      <rgbColor rgb="00839D57"/>
      <rgbColor rgb="00C3C9CC"/>
      <rgbColor rgb="00B8C79D"/>
      <rgbColor rgb="00CDD3D6"/>
      <rgbColor rgb="00DDDEDF"/>
      <rgbColor rgb="00EEEFEF"/>
      <rgbColor rgb="002774B1"/>
      <rgbColor rgb="00B2B7BB"/>
      <rgbColor rgb="00AAAFB3"/>
    </indexedColors>
    <mruColors>
      <color rgb="FFEBEBEB"/>
      <color rgb="FFD9D9D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A16A-0F8D-446E-B863-A0A5A79CD9D9}">
  <dimension ref="A1:AU368"/>
  <sheetViews>
    <sheetView tabSelected="1" zoomScale="40" zoomScaleNormal="40" workbookViewId="0">
      <pane xSplit="1" ySplit="2" topLeftCell="H91" activePane="bottomRight" state="frozen"/>
      <selection pane="topRight" activeCell="B1" sqref="B1"/>
      <selection pane="bottomLeft" activeCell="A4" sqref="A4"/>
      <selection pane="bottomRight" activeCell="AW164" sqref="AW164"/>
    </sheetView>
  </sheetViews>
  <sheetFormatPr baseColWidth="10" defaultRowHeight="12.75" x14ac:dyDescent="0.2"/>
  <cols>
    <col min="1" max="1" width="32.7109375" customWidth="1"/>
    <col min="16" max="16" width="11.5703125" customWidth="1"/>
  </cols>
  <sheetData>
    <row r="1" spans="1:45" ht="15" customHeight="1" x14ac:dyDescent="0.2">
      <c r="A1" s="25" t="s">
        <v>2</v>
      </c>
      <c r="B1" s="26" t="s">
        <v>114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9" t="s">
        <v>115</v>
      </c>
      <c r="O1" s="27"/>
      <c r="P1" s="28"/>
      <c r="Q1" s="31"/>
      <c r="R1" s="31"/>
      <c r="S1" s="31"/>
      <c r="T1" s="31"/>
      <c r="U1" s="31"/>
      <c r="V1" s="31"/>
      <c r="W1" s="31"/>
      <c r="X1" s="31"/>
      <c r="Y1" s="32"/>
      <c r="Z1" s="30" t="s">
        <v>99</v>
      </c>
      <c r="AA1" s="31"/>
      <c r="AB1" s="31"/>
      <c r="AC1" s="31"/>
      <c r="AD1" s="31"/>
      <c r="AE1" s="31"/>
      <c r="AF1" s="31"/>
      <c r="AG1" s="31"/>
      <c r="AH1" s="31"/>
      <c r="AI1" s="32"/>
      <c r="AJ1" s="33" t="s">
        <v>101</v>
      </c>
      <c r="AK1" s="34"/>
      <c r="AL1" s="34"/>
      <c r="AM1" s="34"/>
      <c r="AN1" s="34"/>
      <c r="AO1" s="34"/>
      <c r="AP1" s="34"/>
      <c r="AQ1" s="34"/>
      <c r="AR1" s="34"/>
      <c r="AS1" s="34"/>
    </row>
    <row r="2" spans="1:45" ht="84.75" thickBot="1" x14ac:dyDescent="0.25">
      <c r="A2" s="24"/>
      <c r="B2" s="3" t="s">
        <v>0</v>
      </c>
      <c r="C2" s="5" t="s">
        <v>104</v>
      </c>
      <c r="D2" s="5" t="s">
        <v>105</v>
      </c>
      <c r="E2" s="5" t="s">
        <v>106</v>
      </c>
      <c r="F2" s="5" t="s">
        <v>107</v>
      </c>
      <c r="G2" s="5" t="s">
        <v>108</v>
      </c>
      <c r="H2" s="5" t="s">
        <v>1</v>
      </c>
      <c r="I2" s="5" t="s">
        <v>109</v>
      </c>
      <c r="J2" s="5" t="s">
        <v>110</v>
      </c>
      <c r="K2" s="5" t="s">
        <v>111</v>
      </c>
      <c r="L2" s="5" t="s">
        <v>112</v>
      </c>
      <c r="M2" s="6" t="s">
        <v>113</v>
      </c>
      <c r="N2" s="7" t="s">
        <v>136</v>
      </c>
      <c r="O2" s="5" t="s">
        <v>138</v>
      </c>
      <c r="P2" s="5" t="s">
        <v>139</v>
      </c>
      <c r="Q2" s="4" t="s">
        <v>116</v>
      </c>
      <c r="R2" s="4" t="s">
        <v>117</v>
      </c>
      <c r="S2" s="5" t="s">
        <v>118</v>
      </c>
      <c r="T2" s="5" t="s">
        <v>119</v>
      </c>
      <c r="U2" s="4" t="s">
        <v>120</v>
      </c>
      <c r="V2" s="4" t="s">
        <v>121</v>
      </c>
      <c r="W2" s="4" t="s">
        <v>140</v>
      </c>
      <c r="X2" s="4" t="s">
        <v>141</v>
      </c>
      <c r="Y2" s="21" t="s">
        <v>122</v>
      </c>
      <c r="Z2" s="3" t="s">
        <v>142</v>
      </c>
      <c r="AA2" s="4" t="s">
        <v>143</v>
      </c>
      <c r="AB2" s="5" t="s">
        <v>123</v>
      </c>
      <c r="AC2" s="5" t="s">
        <v>124</v>
      </c>
      <c r="AD2" s="5" t="s">
        <v>125</v>
      </c>
      <c r="AE2" s="5" t="s">
        <v>126</v>
      </c>
      <c r="AF2" s="5" t="s">
        <v>127</v>
      </c>
      <c r="AG2" s="4" t="s">
        <v>128</v>
      </c>
      <c r="AH2" s="4" t="s">
        <v>129</v>
      </c>
      <c r="AI2" s="8" t="s">
        <v>130</v>
      </c>
      <c r="AJ2" s="3" t="s">
        <v>144</v>
      </c>
      <c r="AK2" s="4" t="s">
        <v>146</v>
      </c>
      <c r="AL2" s="4" t="s">
        <v>131</v>
      </c>
      <c r="AM2" s="5" t="s">
        <v>132</v>
      </c>
      <c r="AN2" s="4" t="s">
        <v>147</v>
      </c>
      <c r="AO2" s="9" t="s">
        <v>148</v>
      </c>
      <c r="AP2" s="9" t="s">
        <v>149</v>
      </c>
      <c r="AQ2" s="8" t="s">
        <v>150</v>
      </c>
      <c r="AR2" s="4" t="s">
        <v>133</v>
      </c>
      <c r="AS2" s="10" t="s">
        <v>151</v>
      </c>
    </row>
    <row r="3" spans="1:45" ht="13.5" x14ac:dyDescent="0.2">
      <c r="A3" s="1" t="s">
        <v>3</v>
      </c>
      <c r="B3" s="2">
        <v>2549</v>
      </c>
      <c r="C3" s="11">
        <v>11.8</v>
      </c>
      <c r="D3" s="11">
        <v>10.6</v>
      </c>
      <c r="E3" s="11">
        <v>23.1</v>
      </c>
      <c r="F3" s="11">
        <v>46.5</v>
      </c>
      <c r="G3" s="11">
        <v>70.099999999999994</v>
      </c>
      <c r="H3" s="22">
        <v>1.6</v>
      </c>
      <c r="I3" s="11">
        <v>63.2</v>
      </c>
      <c r="J3" s="11">
        <v>11.4</v>
      </c>
      <c r="K3" s="11">
        <v>25.3</v>
      </c>
      <c r="L3" s="14">
        <v>1.3</v>
      </c>
      <c r="M3" s="20">
        <v>1961</v>
      </c>
      <c r="N3" s="2">
        <v>72.828571428571422</v>
      </c>
      <c r="O3" s="2">
        <v>364.14285714285717</v>
      </c>
      <c r="P3" s="15">
        <v>4.0800313848568068</v>
      </c>
      <c r="Q3" s="11">
        <v>72.3</v>
      </c>
      <c r="R3" s="11">
        <v>7.3</v>
      </c>
      <c r="S3" s="12" t="s">
        <v>134</v>
      </c>
      <c r="T3" s="11">
        <v>6</v>
      </c>
      <c r="U3" s="11">
        <v>9.1</v>
      </c>
      <c r="V3" s="11">
        <v>15.1</v>
      </c>
      <c r="W3" s="2">
        <v>17.701388888888889</v>
      </c>
      <c r="X3" s="11">
        <v>17</v>
      </c>
      <c r="Y3" s="20">
        <v>61093</v>
      </c>
      <c r="Z3" s="2">
        <v>17.579310344827586</v>
      </c>
      <c r="AA3" s="2">
        <v>1.4540787221905305</v>
      </c>
      <c r="AB3" s="11">
        <v>2.1</v>
      </c>
      <c r="AC3" s="11">
        <v>72.5</v>
      </c>
      <c r="AD3" s="11">
        <v>49.9</v>
      </c>
      <c r="AE3" s="11">
        <v>11</v>
      </c>
      <c r="AF3" s="11">
        <v>21.4</v>
      </c>
      <c r="AG3" s="2">
        <v>1828</v>
      </c>
      <c r="AH3" s="12" t="s">
        <v>134</v>
      </c>
      <c r="AI3" s="23">
        <v>7106</v>
      </c>
      <c r="AJ3" s="2">
        <v>1274.5</v>
      </c>
      <c r="AK3" s="2" t="s">
        <v>137</v>
      </c>
      <c r="AL3" s="11">
        <v>42.6</v>
      </c>
      <c r="AM3" s="11">
        <v>55.7</v>
      </c>
      <c r="AN3" s="2">
        <v>10.665271966527197</v>
      </c>
      <c r="AO3" s="2">
        <v>55.413043478260867</v>
      </c>
      <c r="AP3" s="2">
        <v>32.679487179487182</v>
      </c>
      <c r="AQ3" s="2">
        <v>254.9</v>
      </c>
      <c r="AR3" s="2">
        <v>231</v>
      </c>
      <c r="AS3" s="2">
        <v>462.92663789721462</v>
      </c>
    </row>
    <row r="4" spans="1:45" ht="13.5" x14ac:dyDescent="0.2">
      <c r="A4" s="1" t="s">
        <v>4</v>
      </c>
      <c r="B4" s="2">
        <v>8062</v>
      </c>
      <c r="C4" s="11">
        <v>20.6</v>
      </c>
      <c r="D4" s="11">
        <v>9.4</v>
      </c>
      <c r="E4" s="11">
        <v>14.5</v>
      </c>
      <c r="F4" s="11">
        <v>41.8</v>
      </c>
      <c r="G4" s="11">
        <v>58.1</v>
      </c>
      <c r="H4" s="22">
        <v>2.2000000000000002</v>
      </c>
      <c r="I4" s="11">
        <v>37</v>
      </c>
      <c r="J4" s="11">
        <v>26.9</v>
      </c>
      <c r="K4" s="11">
        <v>16</v>
      </c>
      <c r="L4" s="14">
        <v>2.4</v>
      </c>
      <c r="M4" s="20">
        <v>3359</v>
      </c>
      <c r="N4" s="2">
        <v>84.863157894736844</v>
      </c>
      <c r="O4" s="2">
        <v>806.2</v>
      </c>
      <c r="P4" s="15">
        <v>7.2066484743239894</v>
      </c>
      <c r="Q4" s="11">
        <v>59.4</v>
      </c>
      <c r="R4" s="11">
        <v>4.0999999999999996</v>
      </c>
      <c r="S4" s="11">
        <v>1.7</v>
      </c>
      <c r="T4" s="11">
        <v>3.4</v>
      </c>
      <c r="U4" s="11">
        <v>4.8</v>
      </c>
      <c r="V4" s="11">
        <v>8.4</v>
      </c>
      <c r="W4" s="2">
        <v>45.039106145251395</v>
      </c>
      <c r="X4" s="11">
        <v>5</v>
      </c>
      <c r="Y4" s="20">
        <v>92492</v>
      </c>
      <c r="Z4" s="2">
        <v>40.10945273631841</v>
      </c>
      <c r="AA4" s="2">
        <v>1.6263869275771636</v>
      </c>
      <c r="AB4" s="11">
        <v>0.6</v>
      </c>
      <c r="AC4" s="11">
        <v>75.400000000000006</v>
      </c>
      <c r="AD4" s="11">
        <v>46.4</v>
      </c>
      <c r="AE4" s="11">
        <v>26.5</v>
      </c>
      <c r="AF4" s="11">
        <v>1.8</v>
      </c>
      <c r="AG4" s="2">
        <v>2357</v>
      </c>
      <c r="AH4" s="12" t="s">
        <v>134</v>
      </c>
      <c r="AI4" s="2">
        <v>11508</v>
      </c>
      <c r="AJ4" s="2">
        <v>1612.4</v>
      </c>
      <c r="AK4" s="2">
        <v>4031</v>
      </c>
      <c r="AL4" s="11">
        <v>30.6</v>
      </c>
      <c r="AM4" s="11">
        <v>67.900000000000006</v>
      </c>
      <c r="AN4" s="2">
        <v>350.52173913043481</v>
      </c>
      <c r="AO4" s="2">
        <v>1343.6666666666667</v>
      </c>
      <c r="AP4" s="2">
        <v>1343.6666666666667</v>
      </c>
      <c r="AQ4" s="2">
        <v>8062</v>
      </c>
      <c r="AR4" s="2">
        <v>239</v>
      </c>
      <c r="AS4" s="2">
        <v>142.76854378566114</v>
      </c>
    </row>
    <row r="5" spans="1:45" ht="13.5" x14ac:dyDescent="0.2">
      <c r="A5" s="1" t="s">
        <v>5</v>
      </c>
      <c r="B5" s="2">
        <v>12710</v>
      </c>
      <c r="C5" s="11">
        <v>11</v>
      </c>
      <c r="D5" s="11">
        <v>15.3</v>
      </c>
      <c r="E5" s="11">
        <v>21</v>
      </c>
      <c r="F5" s="11">
        <v>38.6</v>
      </c>
      <c r="G5" s="11">
        <v>49.6</v>
      </c>
      <c r="H5" s="22">
        <v>1.5</v>
      </c>
      <c r="I5" s="11">
        <v>69.599999999999994</v>
      </c>
      <c r="J5" s="11">
        <v>10.9</v>
      </c>
      <c r="K5" s="11">
        <v>32.299999999999997</v>
      </c>
      <c r="L5" s="14">
        <v>2.2999999999999998</v>
      </c>
      <c r="M5" s="20">
        <v>5526</v>
      </c>
      <c r="N5" s="2">
        <v>111.49122807017544</v>
      </c>
      <c r="O5" s="2">
        <v>144.43181818181819</v>
      </c>
      <c r="P5" s="15">
        <v>0.44846577498033047</v>
      </c>
      <c r="Q5" s="11">
        <v>62.8</v>
      </c>
      <c r="R5" s="11">
        <v>6.3</v>
      </c>
      <c r="S5" s="11">
        <v>2.6</v>
      </c>
      <c r="T5" s="11">
        <v>8.9</v>
      </c>
      <c r="U5" s="11">
        <v>7</v>
      </c>
      <c r="V5" s="11">
        <v>12.1</v>
      </c>
      <c r="W5" s="2">
        <v>20.666666666666668</v>
      </c>
      <c r="X5" s="11">
        <v>16.600000000000001</v>
      </c>
      <c r="Y5" s="20">
        <v>48592</v>
      </c>
      <c r="Z5" s="2">
        <v>17.506887052341597</v>
      </c>
      <c r="AA5" s="2">
        <v>1.6025721850964569</v>
      </c>
      <c r="AB5" s="11">
        <v>1.2</v>
      </c>
      <c r="AC5" s="11">
        <v>63</v>
      </c>
      <c r="AD5" s="11">
        <v>39.299999999999997</v>
      </c>
      <c r="AE5" s="11">
        <v>12.7</v>
      </c>
      <c r="AF5" s="11">
        <v>31</v>
      </c>
      <c r="AG5" s="2">
        <v>1766</v>
      </c>
      <c r="AH5" s="12" t="s">
        <v>134</v>
      </c>
      <c r="AI5" s="2">
        <v>7618</v>
      </c>
      <c r="AJ5" s="2">
        <v>1271</v>
      </c>
      <c r="AK5" s="2">
        <v>12710</v>
      </c>
      <c r="AL5" s="11">
        <v>43.5</v>
      </c>
      <c r="AM5" s="11">
        <v>54.1</v>
      </c>
      <c r="AN5" s="2">
        <v>67.967914438502675</v>
      </c>
      <c r="AO5" s="2">
        <v>668.9473684210526</v>
      </c>
      <c r="AP5" s="2">
        <v>147.7906976744186</v>
      </c>
      <c r="AQ5" s="2">
        <v>1815.7142857142858</v>
      </c>
      <c r="AR5" s="2">
        <v>229</v>
      </c>
      <c r="AS5" s="2">
        <v>77.025963808025182</v>
      </c>
    </row>
    <row r="6" spans="1:45" ht="13.5" x14ac:dyDescent="0.2">
      <c r="A6" s="1" t="s">
        <v>6</v>
      </c>
      <c r="B6" s="2">
        <v>22377</v>
      </c>
      <c r="C6" s="11">
        <v>12.9</v>
      </c>
      <c r="D6" s="11">
        <v>10.7</v>
      </c>
      <c r="E6" s="11">
        <v>24.1</v>
      </c>
      <c r="F6" s="11">
        <v>39.9</v>
      </c>
      <c r="G6" s="11">
        <v>51.9</v>
      </c>
      <c r="H6" s="22">
        <v>1.5</v>
      </c>
      <c r="I6" s="11">
        <v>69.5</v>
      </c>
      <c r="J6" s="11">
        <v>11.9</v>
      </c>
      <c r="K6" s="11">
        <v>37.200000000000003</v>
      </c>
      <c r="L6" s="14">
        <v>2.2000000000000002</v>
      </c>
      <c r="M6" s="20">
        <v>10171</v>
      </c>
      <c r="N6" s="2">
        <v>148.19205298013244</v>
      </c>
      <c r="O6" s="2">
        <v>138.12962962962962</v>
      </c>
      <c r="P6" s="15">
        <v>0.23685033740000894</v>
      </c>
      <c r="Q6" s="11">
        <v>56.1</v>
      </c>
      <c r="R6" s="11">
        <v>8.3000000000000007</v>
      </c>
      <c r="S6" s="11">
        <v>3.6</v>
      </c>
      <c r="T6" s="11">
        <v>11.5</v>
      </c>
      <c r="U6" s="11">
        <v>12.3</v>
      </c>
      <c r="V6" s="11">
        <v>21</v>
      </c>
      <c r="W6" s="2">
        <v>12.620981387478849</v>
      </c>
      <c r="X6" s="11">
        <v>22.2</v>
      </c>
      <c r="Y6" s="20">
        <v>38452</v>
      </c>
      <c r="Z6" s="2">
        <v>16.686800894854585</v>
      </c>
      <c r="AA6" s="2">
        <v>1.7424855941442143</v>
      </c>
      <c r="AB6" s="11">
        <v>1.5</v>
      </c>
      <c r="AC6" s="11">
        <v>62.8</v>
      </c>
      <c r="AD6" s="11">
        <v>36.1</v>
      </c>
      <c r="AE6" s="11">
        <v>16</v>
      </c>
      <c r="AF6" s="11">
        <v>31.4</v>
      </c>
      <c r="AG6" s="2">
        <v>1523</v>
      </c>
      <c r="AH6" s="12" t="s">
        <v>134</v>
      </c>
      <c r="AI6" s="2">
        <v>6844</v>
      </c>
      <c r="AJ6" s="2">
        <v>1398.5625</v>
      </c>
      <c r="AK6" s="2">
        <v>22377</v>
      </c>
      <c r="AL6" s="11">
        <v>53.6</v>
      </c>
      <c r="AM6" s="11">
        <v>42.9</v>
      </c>
      <c r="AN6" s="2">
        <v>520.39534883720933</v>
      </c>
      <c r="AO6" s="2">
        <v>2034.2727272727273</v>
      </c>
      <c r="AP6" s="2">
        <v>1316.2941176470588</v>
      </c>
      <c r="AQ6" s="2">
        <v>4475.3999999999996</v>
      </c>
      <c r="AR6" s="2">
        <v>193</v>
      </c>
      <c r="AS6" s="2">
        <v>18.456450820038434</v>
      </c>
    </row>
    <row r="7" spans="1:45" ht="13.5" x14ac:dyDescent="0.2">
      <c r="A7" s="1" t="s">
        <v>7</v>
      </c>
      <c r="B7" s="2">
        <v>12508</v>
      </c>
      <c r="C7" s="11">
        <v>10.8</v>
      </c>
      <c r="D7" s="11">
        <v>14.2</v>
      </c>
      <c r="E7" s="11">
        <v>30.8</v>
      </c>
      <c r="F7" s="11">
        <v>46.2</v>
      </c>
      <c r="G7" s="11">
        <v>62</v>
      </c>
      <c r="H7" s="22">
        <v>1.5</v>
      </c>
      <c r="I7" s="11">
        <v>67.599999999999994</v>
      </c>
      <c r="J7" s="11">
        <v>9.9</v>
      </c>
      <c r="K7" s="11">
        <v>27.3</v>
      </c>
      <c r="L7" s="14">
        <v>1.8</v>
      </c>
      <c r="M7" s="20">
        <v>6949</v>
      </c>
      <c r="N7" s="2">
        <v>120.26923076923077</v>
      </c>
      <c r="O7" s="2">
        <v>135.95652173913044</v>
      </c>
      <c r="P7" s="15">
        <v>-0.91141669331627762</v>
      </c>
      <c r="Q7" s="11">
        <v>57.5</v>
      </c>
      <c r="R7" s="11">
        <v>8.9</v>
      </c>
      <c r="S7" s="11">
        <v>4.7</v>
      </c>
      <c r="T7" s="11">
        <v>9.3000000000000007</v>
      </c>
      <c r="U7" s="11">
        <v>12</v>
      </c>
      <c r="V7" s="11">
        <v>21.5</v>
      </c>
      <c r="W7" s="2">
        <v>12.881565396498456</v>
      </c>
      <c r="X7" s="11">
        <v>18.399999999999999</v>
      </c>
      <c r="Y7" s="20">
        <v>59235</v>
      </c>
      <c r="Z7" s="2">
        <v>20.141706924315621</v>
      </c>
      <c r="AA7" s="2">
        <v>1.8090830199595025</v>
      </c>
      <c r="AB7" s="11">
        <v>1.5</v>
      </c>
      <c r="AC7" s="11">
        <v>69.8</v>
      </c>
      <c r="AD7" s="11">
        <v>38.6</v>
      </c>
      <c r="AE7" s="11">
        <v>9.9</v>
      </c>
      <c r="AF7" s="11">
        <v>10.7</v>
      </c>
      <c r="AG7" s="2">
        <v>1525</v>
      </c>
      <c r="AH7" s="12" t="s">
        <v>134</v>
      </c>
      <c r="AI7" s="2">
        <v>7618</v>
      </c>
      <c r="AJ7" s="2">
        <v>1389.7777777777778</v>
      </c>
      <c r="AK7" s="2">
        <v>12508</v>
      </c>
      <c r="AL7" s="11">
        <v>42.7</v>
      </c>
      <c r="AM7" s="11">
        <v>54.1</v>
      </c>
      <c r="AN7" s="2">
        <v>109.71929824561404</v>
      </c>
      <c r="AO7" s="2">
        <v>416.93333333333334</v>
      </c>
      <c r="AP7" s="2">
        <v>568.5454545454545</v>
      </c>
      <c r="AQ7" s="2">
        <v>1786.8571428571429</v>
      </c>
      <c r="AR7" s="2">
        <v>190</v>
      </c>
      <c r="AS7" s="2">
        <v>26.223217141029743</v>
      </c>
    </row>
    <row r="8" spans="1:45" ht="13.5" x14ac:dyDescent="0.2">
      <c r="A8" s="1" t="s">
        <v>8</v>
      </c>
      <c r="B8" s="2">
        <v>6943</v>
      </c>
      <c r="C8" s="11">
        <v>13.7</v>
      </c>
      <c r="D8" s="11">
        <v>3.6</v>
      </c>
      <c r="E8" s="11">
        <v>46.2</v>
      </c>
      <c r="F8" s="11">
        <v>64.3</v>
      </c>
      <c r="G8" s="11">
        <v>86.9</v>
      </c>
      <c r="H8" s="22">
        <v>1.7</v>
      </c>
      <c r="I8" s="11">
        <v>57</v>
      </c>
      <c r="J8" s="11">
        <v>11.7</v>
      </c>
      <c r="K8" s="11">
        <v>24.3</v>
      </c>
      <c r="L8" s="14">
        <v>2.5</v>
      </c>
      <c r="M8" s="20">
        <v>2777</v>
      </c>
      <c r="N8" s="2">
        <v>77.144444444444446</v>
      </c>
      <c r="O8" s="2">
        <v>534.07692307692309</v>
      </c>
      <c r="P8" s="15">
        <v>2.4053003024629125</v>
      </c>
      <c r="Q8" s="11">
        <v>57.5</v>
      </c>
      <c r="R8" s="11">
        <v>9.9</v>
      </c>
      <c r="S8" s="11">
        <v>3</v>
      </c>
      <c r="T8" s="11">
        <v>21.9</v>
      </c>
      <c r="U8" s="11">
        <v>20.5</v>
      </c>
      <c r="V8" s="11">
        <v>46.3</v>
      </c>
      <c r="W8" s="2">
        <v>9.1717305151915447</v>
      </c>
      <c r="X8" s="11">
        <v>38.9</v>
      </c>
      <c r="Y8" s="20">
        <v>38062</v>
      </c>
      <c r="Z8" s="2">
        <v>41.574850299401199</v>
      </c>
      <c r="AA8" s="2">
        <v>1.7680162974280622</v>
      </c>
      <c r="AB8" s="11">
        <v>1.1000000000000001</v>
      </c>
      <c r="AC8" s="11">
        <v>52.5</v>
      </c>
      <c r="AD8" s="11">
        <v>29.7</v>
      </c>
      <c r="AE8" s="11">
        <v>19.899999999999999</v>
      </c>
      <c r="AF8" s="11">
        <v>1.8</v>
      </c>
      <c r="AG8" s="2">
        <v>702</v>
      </c>
      <c r="AH8" s="12" t="s">
        <v>134</v>
      </c>
      <c r="AI8" s="2">
        <v>5914</v>
      </c>
      <c r="AJ8" s="2">
        <v>1157.1666666666667</v>
      </c>
      <c r="AK8" s="2" t="s">
        <v>137</v>
      </c>
      <c r="AL8" s="11">
        <v>70.099999999999994</v>
      </c>
      <c r="AM8" s="11">
        <v>28.2</v>
      </c>
      <c r="AN8" s="2">
        <v>6943</v>
      </c>
      <c r="AO8" s="2" t="s">
        <v>137</v>
      </c>
      <c r="AP8" s="2">
        <v>867.875</v>
      </c>
      <c r="AQ8" s="2" t="s">
        <v>137</v>
      </c>
      <c r="AR8" s="2">
        <v>128</v>
      </c>
      <c r="AS8" s="2">
        <v>594.26760766239374</v>
      </c>
    </row>
    <row r="9" spans="1:45" ht="13.5" x14ac:dyDescent="0.2">
      <c r="A9" s="1" t="s">
        <v>9</v>
      </c>
      <c r="B9" s="2">
        <v>8880</v>
      </c>
      <c r="C9" s="11">
        <v>13.6</v>
      </c>
      <c r="D9" s="11">
        <v>10.5</v>
      </c>
      <c r="E9" s="11">
        <v>40.6</v>
      </c>
      <c r="F9" s="11">
        <v>56.9</v>
      </c>
      <c r="G9" s="11">
        <v>81.599999999999994</v>
      </c>
      <c r="H9" s="22">
        <v>1.5</v>
      </c>
      <c r="I9" s="11">
        <v>68.2</v>
      </c>
      <c r="J9" s="11">
        <v>10</v>
      </c>
      <c r="K9" s="11">
        <v>25.2</v>
      </c>
      <c r="L9" s="14">
        <v>0.8</v>
      </c>
      <c r="M9" s="20">
        <v>11100</v>
      </c>
      <c r="N9" s="2">
        <v>118.4</v>
      </c>
      <c r="O9" s="2">
        <v>148</v>
      </c>
      <c r="P9" s="15">
        <v>0.5067567567567568</v>
      </c>
      <c r="Q9" s="11">
        <v>57.2</v>
      </c>
      <c r="R9" s="11">
        <v>8.9</v>
      </c>
      <c r="S9" s="11">
        <v>4.3</v>
      </c>
      <c r="T9" s="11">
        <v>12.2</v>
      </c>
      <c r="U9" s="11">
        <v>16.8</v>
      </c>
      <c r="V9" s="11">
        <v>41.3</v>
      </c>
      <c r="W9" s="2">
        <v>12.367688022284122</v>
      </c>
      <c r="X9" s="11">
        <v>15.7</v>
      </c>
      <c r="Y9" s="20">
        <v>33265</v>
      </c>
      <c r="Z9" s="2">
        <v>21.658536585365855</v>
      </c>
      <c r="AA9" s="2">
        <v>1.8825524697901208</v>
      </c>
      <c r="AB9" s="11">
        <v>0.8</v>
      </c>
      <c r="AC9" s="11">
        <v>53.1</v>
      </c>
      <c r="AD9" s="11">
        <v>28.2</v>
      </c>
      <c r="AE9" s="11">
        <v>7.5</v>
      </c>
      <c r="AF9" s="2">
        <v>0</v>
      </c>
      <c r="AG9" s="2">
        <v>785</v>
      </c>
      <c r="AH9" s="12" t="s">
        <v>134</v>
      </c>
      <c r="AI9" s="2">
        <v>6148</v>
      </c>
      <c r="AJ9" s="2">
        <v>2960</v>
      </c>
      <c r="AK9" s="2" t="s">
        <v>137</v>
      </c>
      <c r="AL9" s="11">
        <v>62.2</v>
      </c>
      <c r="AM9" s="11">
        <v>33.9</v>
      </c>
      <c r="AN9" s="2">
        <v>2220</v>
      </c>
      <c r="AO9" s="2">
        <v>4440</v>
      </c>
      <c r="AP9" s="2">
        <v>2220</v>
      </c>
      <c r="AQ9" s="2">
        <v>8880</v>
      </c>
      <c r="AR9" s="2">
        <v>186</v>
      </c>
      <c r="AS9" s="2">
        <v>7.6576576576576576</v>
      </c>
    </row>
    <row r="10" spans="1:45" ht="13.5" x14ac:dyDescent="0.2">
      <c r="A10" s="1" t="s">
        <v>102</v>
      </c>
      <c r="B10" s="2">
        <v>38871</v>
      </c>
      <c r="C10" s="11">
        <v>11.7</v>
      </c>
      <c r="D10" s="11">
        <v>13.5</v>
      </c>
      <c r="E10" s="11">
        <v>22</v>
      </c>
      <c r="F10" s="11">
        <v>41.7</v>
      </c>
      <c r="G10" s="11">
        <v>65.599999999999994</v>
      </c>
      <c r="H10" s="22">
        <v>1.5</v>
      </c>
      <c r="I10" s="11">
        <v>68.8</v>
      </c>
      <c r="J10" s="11">
        <v>11.1</v>
      </c>
      <c r="K10" s="11">
        <v>32.4</v>
      </c>
      <c r="L10" s="14">
        <v>3.9</v>
      </c>
      <c r="M10" s="20">
        <v>9967</v>
      </c>
      <c r="N10" s="2">
        <v>97.911838790931995</v>
      </c>
      <c r="O10" s="2">
        <v>150.66279069767441</v>
      </c>
      <c r="P10" s="15">
        <v>-0.28813254096884566</v>
      </c>
      <c r="Q10" s="11">
        <v>68.2</v>
      </c>
      <c r="R10" s="11">
        <v>7.1</v>
      </c>
      <c r="S10" s="11">
        <v>3.4</v>
      </c>
      <c r="T10" s="11">
        <v>9</v>
      </c>
      <c r="U10" s="11">
        <v>9.8000000000000007</v>
      </c>
      <c r="V10" s="11">
        <v>20.8</v>
      </c>
      <c r="W10" s="2">
        <v>17.033742331288344</v>
      </c>
      <c r="X10" s="11">
        <v>14.3</v>
      </c>
      <c r="Y10" s="20">
        <v>34051</v>
      </c>
      <c r="Z10" s="2">
        <v>16.885751520417028</v>
      </c>
      <c r="AA10" s="2">
        <v>1.6264697267668102</v>
      </c>
      <c r="AB10" s="11">
        <v>0.8</v>
      </c>
      <c r="AC10" s="11">
        <v>58.6</v>
      </c>
      <c r="AD10" s="11">
        <v>36</v>
      </c>
      <c r="AE10" s="11">
        <v>5.6</v>
      </c>
      <c r="AF10" s="11">
        <v>33.799999999999997</v>
      </c>
      <c r="AG10" s="2">
        <v>655</v>
      </c>
      <c r="AH10" s="12" t="s">
        <v>134</v>
      </c>
      <c r="AI10" s="2">
        <v>4576</v>
      </c>
      <c r="AJ10" s="2">
        <v>2429.4375</v>
      </c>
      <c r="AK10" s="2">
        <v>19435.5</v>
      </c>
      <c r="AL10" s="11">
        <v>56.8</v>
      </c>
      <c r="AM10" s="11">
        <v>39.700000000000003</v>
      </c>
      <c r="AN10" s="2">
        <v>2776.5</v>
      </c>
      <c r="AO10" s="2">
        <v>6478.5</v>
      </c>
      <c r="AP10" s="2">
        <v>1554.84</v>
      </c>
      <c r="AQ10" s="2">
        <v>5553</v>
      </c>
      <c r="AR10" s="2">
        <v>250</v>
      </c>
      <c r="AS10" s="2">
        <v>8.0522754752900614</v>
      </c>
    </row>
    <row r="11" spans="1:45" ht="13.5" x14ac:dyDescent="0.2">
      <c r="A11" s="1" t="s">
        <v>10</v>
      </c>
      <c r="B11" s="2">
        <v>39186</v>
      </c>
      <c r="C11" s="11">
        <v>16.3</v>
      </c>
      <c r="D11" s="11">
        <v>14.5</v>
      </c>
      <c r="E11" s="11">
        <v>31.6</v>
      </c>
      <c r="F11" s="11">
        <v>59.5</v>
      </c>
      <c r="G11" s="11">
        <v>79.2</v>
      </c>
      <c r="H11" s="22">
        <v>1.7</v>
      </c>
      <c r="I11" s="11">
        <v>60</v>
      </c>
      <c r="J11" s="11">
        <v>16.100000000000001</v>
      </c>
      <c r="K11" s="11">
        <v>33.9</v>
      </c>
      <c r="L11" s="14">
        <v>5.9</v>
      </c>
      <c r="M11" s="20">
        <v>6642</v>
      </c>
      <c r="N11" s="2">
        <v>96.280098280098287</v>
      </c>
      <c r="O11" s="2">
        <v>116.97313432835821</v>
      </c>
      <c r="P11" s="15">
        <v>0.76813147552697392</v>
      </c>
      <c r="Q11" s="11">
        <v>60.1</v>
      </c>
      <c r="R11" s="11">
        <v>8.8000000000000007</v>
      </c>
      <c r="S11" s="11">
        <v>4.0999999999999996</v>
      </c>
      <c r="T11" s="11">
        <v>10</v>
      </c>
      <c r="U11" s="11">
        <v>15.2</v>
      </c>
      <c r="V11" s="11">
        <v>27.8</v>
      </c>
      <c r="W11" s="2">
        <v>12.436052046969216</v>
      </c>
      <c r="X11" s="11">
        <v>17.100000000000001</v>
      </c>
      <c r="Y11" s="20">
        <v>28727</v>
      </c>
      <c r="Z11" s="2">
        <v>14.5456570155902</v>
      </c>
      <c r="AA11" s="2">
        <v>1.9154365040570926</v>
      </c>
      <c r="AB11" s="11">
        <v>4.3</v>
      </c>
      <c r="AC11" s="11">
        <v>60.8</v>
      </c>
      <c r="AD11" s="11">
        <v>31.7</v>
      </c>
      <c r="AE11" s="11">
        <v>11.9</v>
      </c>
      <c r="AF11" s="11">
        <v>22.3</v>
      </c>
      <c r="AG11" s="2">
        <v>549</v>
      </c>
      <c r="AH11" s="2">
        <v>4133</v>
      </c>
      <c r="AI11" s="2">
        <v>4158</v>
      </c>
      <c r="AJ11" s="2">
        <v>2799</v>
      </c>
      <c r="AK11" s="2">
        <v>7837.2</v>
      </c>
      <c r="AL11" s="11">
        <v>64.8</v>
      </c>
      <c r="AM11" s="11">
        <v>32.200000000000003</v>
      </c>
      <c r="AN11" s="2">
        <v>1031.2105263157894</v>
      </c>
      <c r="AO11" s="2">
        <v>1703.7391304347825</v>
      </c>
      <c r="AP11" s="2">
        <v>3265.5</v>
      </c>
      <c r="AQ11" s="2">
        <v>9796.5</v>
      </c>
      <c r="AR11" s="2">
        <v>255</v>
      </c>
      <c r="AS11" s="2">
        <v>3.1133568111060073</v>
      </c>
    </row>
    <row r="12" spans="1:45" ht="13.5" x14ac:dyDescent="0.2">
      <c r="A12" s="1" t="s">
        <v>11</v>
      </c>
      <c r="B12" s="2">
        <v>73098</v>
      </c>
      <c r="C12" s="11">
        <v>19.399999999999999</v>
      </c>
      <c r="D12" s="11">
        <v>18.2</v>
      </c>
      <c r="E12" s="11">
        <v>30.8</v>
      </c>
      <c r="F12" s="11">
        <v>64.599999999999994</v>
      </c>
      <c r="G12" s="11">
        <v>81.3</v>
      </c>
      <c r="H12" s="22">
        <v>2</v>
      </c>
      <c r="I12" s="11">
        <v>49</v>
      </c>
      <c r="J12" s="11">
        <v>21.1</v>
      </c>
      <c r="K12" s="11">
        <v>32.6</v>
      </c>
      <c r="L12" s="14">
        <v>16.899999999999999</v>
      </c>
      <c r="M12" s="20">
        <v>4325</v>
      </c>
      <c r="N12" s="2">
        <v>92.763959390862951</v>
      </c>
      <c r="O12" s="2">
        <v>100.40934065934066</v>
      </c>
      <c r="P12" s="15">
        <v>0.65528468631152703</v>
      </c>
      <c r="Q12" s="11">
        <v>57.2</v>
      </c>
      <c r="R12" s="11">
        <v>9.9</v>
      </c>
      <c r="S12" s="11">
        <v>4.7</v>
      </c>
      <c r="T12" s="11">
        <v>9.1</v>
      </c>
      <c r="U12" s="11">
        <v>18.8</v>
      </c>
      <c r="V12" s="11">
        <v>32.4</v>
      </c>
      <c r="W12" s="2">
        <v>11.378891656288916</v>
      </c>
      <c r="X12" s="11">
        <v>17.5</v>
      </c>
      <c r="Y12" s="20">
        <v>29972</v>
      </c>
      <c r="Z12" s="2">
        <v>8.6701458901672392</v>
      </c>
      <c r="AA12" s="2">
        <v>2.2226343955242034</v>
      </c>
      <c r="AB12" s="11">
        <v>19.7</v>
      </c>
      <c r="AC12" s="11">
        <v>72.8</v>
      </c>
      <c r="AD12" s="11">
        <v>32.700000000000003</v>
      </c>
      <c r="AE12" s="11">
        <v>13.2</v>
      </c>
      <c r="AF12" s="11">
        <v>30.6</v>
      </c>
      <c r="AG12" s="2">
        <v>545</v>
      </c>
      <c r="AH12" s="2">
        <v>3900</v>
      </c>
      <c r="AI12" s="2">
        <v>3463</v>
      </c>
      <c r="AJ12" s="2">
        <v>2610.6428571428573</v>
      </c>
      <c r="AK12" s="2">
        <v>10442.571428571429</v>
      </c>
      <c r="AL12" s="11">
        <v>69</v>
      </c>
      <c r="AM12" s="11">
        <v>27.5</v>
      </c>
      <c r="AN12" s="2">
        <v>769.45263157894738</v>
      </c>
      <c r="AO12" s="2">
        <v>1782.8780487804879</v>
      </c>
      <c r="AP12" s="2">
        <v>2284.3125</v>
      </c>
      <c r="AQ12" s="2">
        <v>7309.8</v>
      </c>
      <c r="AR12" s="2">
        <v>306</v>
      </c>
      <c r="AS12" s="2">
        <v>5.3626638211715782</v>
      </c>
    </row>
    <row r="13" spans="1:45" ht="13.5" x14ac:dyDescent="0.2">
      <c r="A13" s="1" t="s">
        <v>12</v>
      </c>
      <c r="B13" s="2">
        <v>1851</v>
      </c>
      <c r="C13" s="11">
        <v>29.3</v>
      </c>
      <c r="D13" s="11">
        <v>5</v>
      </c>
      <c r="E13" s="11">
        <v>81.3</v>
      </c>
      <c r="F13" s="11">
        <v>89.1</v>
      </c>
      <c r="G13" s="11">
        <v>98.9</v>
      </c>
      <c r="H13" s="22">
        <v>1.4</v>
      </c>
      <c r="I13" s="11">
        <v>74.8</v>
      </c>
      <c r="J13" s="11">
        <v>7.7</v>
      </c>
      <c r="K13" s="13" t="s">
        <v>135</v>
      </c>
      <c r="L13" s="14">
        <v>6.3</v>
      </c>
      <c r="M13" s="20">
        <v>294</v>
      </c>
      <c r="N13" s="2">
        <v>97.421052631578945</v>
      </c>
      <c r="O13" s="2">
        <v>308.5</v>
      </c>
      <c r="P13" s="15">
        <v>-1.5126958400864399</v>
      </c>
      <c r="Q13" s="11">
        <v>44.6</v>
      </c>
      <c r="R13" s="11">
        <v>20</v>
      </c>
      <c r="S13" s="11">
        <v>8.9</v>
      </c>
      <c r="T13" s="11">
        <v>21.9</v>
      </c>
      <c r="U13" s="11">
        <v>58.3</v>
      </c>
      <c r="V13" s="11">
        <v>79.099999999999994</v>
      </c>
      <c r="W13" s="2">
        <v>4.2847222222222223</v>
      </c>
      <c r="X13" s="11">
        <v>26.9</v>
      </c>
      <c r="Y13" s="20">
        <v>19590</v>
      </c>
      <c r="Z13" s="2">
        <v>22.035714285714285</v>
      </c>
      <c r="AA13" s="2">
        <v>6.958646616541353</v>
      </c>
      <c r="AB13" s="11">
        <v>28.2</v>
      </c>
      <c r="AC13" s="11">
        <v>81.900000000000006</v>
      </c>
      <c r="AD13" s="11">
        <v>11.8</v>
      </c>
      <c r="AE13" s="2">
        <v>0</v>
      </c>
      <c r="AF13" s="2">
        <v>0</v>
      </c>
      <c r="AG13" s="2">
        <v>353</v>
      </c>
      <c r="AH13" s="12" t="s">
        <v>134</v>
      </c>
      <c r="AI13" s="12" t="s">
        <v>134</v>
      </c>
      <c r="AJ13" s="2">
        <v>1851</v>
      </c>
      <c r="AK13" s="2">
        <v>1851</v>
      </c>
      <c r="AL13" s="11">
        <v>78.7</v>
      </c>
      <c r="AM13" s="11">
        <v>15</v>
      </c>
      <c r="AN13" s="2" t="s">
        <v>137</v>
      </c>
      <c r="AO13" s="2" t="s">
        <v>137</v>
      </c>
      <c r="AP13" s="2" t="s">
        <v>137</v>
      </c>
      <c r="AQ13" s="2" t="s">
        <v>137</v>
      </c>
      <c r="AR13" s="2">
        <v>134</v>
      </c>
      <c r="AS13" s="2">
        <v>143.70610480821179</v>
      </c>
    </row>
    <row r="14" spans="1:45" ht="13.5" x14ac:dyDescent="0.2">
      <c r="A14" s="1" t="s">
        <v>13</v>
      </c>
      <c r="B14" s="2">
        <v>11236</v>
      </c>
      <c r="C14" s="11">
        <v>18</v>
      </c>
      <c r="D14" s="11">
        <v>13.1</v>
      </c>
      <c r="E14" s="11">
        <v>39.6</v>
      </c>
      <c r="F14" s="11">
        <v>65.900000000000006</v>
      </c>
      <c r="G14" s="11">
        <v>84</v>
      </c>
      <c r="H14" s="22">
        <v>1.8</v>
      </c>
      <c r="I14" s="11">
        <v>56.1</v>
      </c>
      <c r="J14" s="11">
        <v>18.100000000000001</v>
      </c>
      <c r="K14" s="11">
        <v>35.200000000000003</v>
      </c>
      <c r="L14" s="14">
        <v>7.2</v>
      </c>
      <c r="M14" s="20">
        <v>1561</v>
      </c>
      <c r="N14" s="2">
        <v>111.24752475247524</v>
      </c>
      <c r="O14" s="2">
        <v>112.36</v>
      </c>
      <c r="P14" s="15">
        <v>8.2858668565325733</v>
      </c>
      <c r="Q14" s="11">
        <v>52.8</v>
      </c>
      <c r="R14" s="11">
        <v>12.3</v>
      </c>
      <c r="S14" s="11">
        <v>5.7</v>
      </c>
      <c r="T14" s="11">
        <v>16.399999999999999</v>
      </c>
      <c r="U14" s="11">
        <v>22.1</v>
      </c>
      <c r="V14" s="11">
        <v>36.700000000000003</v>
      </c>
      <c r="W14" s="2">
        <v>8.4672192916352671</v>
      </c>
      <c r="X14" s="11">
        <v>22.2</v>
      </c>
      <c r="Y14" s="20">
        <v>27587</v>
      </c>
      <c r="Z14" s="2">
        <v>23.359667359667359</v>
      </c>
      <c r="AA14" s="2">
        <v>2.1632653061224492</v>
      </c>
      <c r="AB14" s="11">
        <v>1.8</v>
      </c>
      <c r="AC14" s="11">
        <v>58.5</v>
      </c>
      <c r="AD14" s="11">
        <v>27.1</v>
      </c>
      <c r="AE14" s="11">
        <v>18.8</v>
      </c>
      <c r="AF14" s="11">
        <v>15.7</v>
      </c>
      <c r="AG14" s="2">
        <v>453</v>
      </c>
      <c r="AH14" s="12" t="s">
        <v>134</v>
      </c>
      <c r="AI14" s="12" t="s">
        <v>134</v>
      </c>
      <c r="AJ14" s="2">
        <v>2809</v>
      </c>
      <c r="AK14" s="2">
        <v>11236</v>
      </c>
      <c r="AL14" s="11">
        <v>72</v>
      </c>
      <c r="AM14" s="11">
        <v>23.9</v>
      </c>
      <c r="AN14" s="2">
        <v>2247.1999999999998</v>
      </c>
      <c r="AO14" s="2">
        <v>2247.1999999999998</v>
      </c>
      <c r="AP14" s="2">
        <v>2247.1999999999998</v>
      </c>
      <c r="AQ14" s="2">
        <v>11236</v>
      </c>
      <c r="AR14" s="2">
        <v>213</v>
      </c>
      <c r="AS14" s="2">
        <v>30.615877536489855</v>
      </c>
    </row>
    <row r="15" spans="1:45" ht="13.5" x14ac:dyDescent="0.2">
      <c r="A15" s="1" t="s">
        <v>14</v>
      </c>
      <c r="B15" s="2">
        <v>4328</v>
      </c>
      <c r="C15" s="11">
        <v>18.7</v>
      </c>
      <c r="D15" s="11">
        <v>9.1999999999999993</v>
      </c>
      <c r="E15" s="11">
        <v>47</v>
      </c>
      <c r="F15" s="11">
        <v>76.5</v>
      </c>
      <c r="G15" s="11">
        <v>91.9</v>
      </c>
      <c r="H15" s="22">
        <v>1.9</v>
      </c>
      <c r="I15" s="11">
        <v>54.8</v>
      </c>
      <c r="J15" s="11">
        <v>20.2</v>
      </c>
      <c r="K15" s="11">
        <v>32.799999999999997</v>
      </c>
      <c r="L15" s="14">
        <v>4.4000000000000004</v>
      </c>
      <c r="M15" s="20">
        <v>984</v>
      </c>
      <c r="N15" s="2">
        <v>108.2</v>
      </c>
      <c r="O15" s="2">
        <v>206.0952380952381</v>
      </c>
      <c r="P15" s="15">
        <v>0.55452865064695012</v>
      </c>
      <c r="Q15" s="11">
        <v>56.1</v>
      </c>
      <c r="R15" s="11">
        <v>11.5</v>
      </c>
      <c r="S15" s="11">
        <v>5.8</v>
      </c>
      <c r="T15" s="11">
        <v>14.1</v>
      </c>
      <c r="U15" s="11">
        <v>21.9</v>
      </c>
      <c r="V15" s="11">
        <v>34.200000000000003</v>
      </c>
      <c r="W15" s="2">
        <v>9.3477321814254868</v>
      </c>
      <c r="X15" s="11">
        <v>25.5</v>
      </c>
      <c r="Y15" s="20">
        <v>22609</v>
      </c>
      <c r="Z15" s="2">
        <v>20.807692307692307</v>
      </c>
      <c r="AA15" s="2">
        <v>2.1683366733466936</v>
      </c>
      <c r="AB15" s="11">
        <v>0.9</v>
      </c>
      <c r="AC15" s="11">
        <v>60.7</v>
      </c>
      <c r="AD15" s="11">
        <v>28</v>
      </c>
      <c r="AE15" s="11">
        <v>34.4</v>
      </c>
      <c r="AF15" s="11">
        <v>68.7</v>
      </c>
      <c r="AG15" s="2">
        <v>331</v>
      </c>
      <c r="AH15" s="12" t="s">
        <v>134</v>
      </c>
      <c r="AI15" s="12" t="s">
        <v>134</v>
      </c>
      <c r="AJ15" s="2">
        <v>2164</v>
      </c>
      <c r="AK15" s="2">
        <v>4328</v>
      </c>
      <c r="AL15" s="11">
        <v>75.900000000000006</v>
      </c>
      <c r="AM15" s="11">
        <v>21</v>
      </c>
      <c r="AN15" s="2">
        <v>1082</v>
      </c>
      <c r="AO15" s="2">
        <v>1082</v>
      </c>
      <c r="AP15" s="2">
        <v>2164</v>
      </c>
      <c r="AQ15" s="2">
        <v>4328</v>
      </c>
      <c r="AR15" s="2">
        <v>199</v>
      </c>
      <c r="AS15" s="2">
        <v>20.5637707948244</v>
      </c>
    </row>
    <row r="16" spans="1:45" ht="13.5" x14ac:dyDescent="0.2">
      <c r="A16" s="1" t="s">
        <v>15</v>
      </c>
      <c r="B16" s="2">
        <v>54073</v>
      </c>
      <c r="C16" s="11">
        <v>19.899999999999999</v>
      </c>
      <c r="D16" s="11">
        <v>13.6</v>
      </c>
      <c r="E16" s="11">
        <v>34.299999999999997</v>
      </c>
      <c r="F16" s="11">
        <v>63.8</v>
      </c>
      <c r="G16" s="11">
        <v>78.099999999999994</v>
      </c>
      <c r="H16" s="22">
        <v>2</v>
      </c>
      <c r="I16" s="11">
        <v>51.3</v>
      </c>
      <c r="J16" s="11">
        <v>21.5</v>
      </c>
      <c r="K16" s="11">
        <v>28</v>
      </c>
      <c r="L16" s="14">
        <v>35.4</v>
      </c>
      <c r="M16" s="20">
        <v>1528</v>
      </c>
      <c r="N16" s="2">
        <v>105.611328125</v>
      </c>
      <c r="O16" s="2">
        <v>111.03285420944559</v>
      </c>
      <c r="P16" s="15">
        <v>-0.97830710336027227</v>
      </c>
      <c r="Q16" s="11">
        <v>56.2</v>
      </c>
      <c r="R16" s="11">
        <v>9.8000000000000007</v>
      </c>
      <c r="S16" s="11">
        <v>5.0999999999999996</v>
      </c>
      <c r="T16" s="11">
        <v>10.3</v>
      </c>
      <c r="U16" s="11">
        <v>17.899999999999999</v>
      </c>
      <c r="V16" s="11">
        <v>27.7</v>
      </c>
      <c r="W16" s="2">
        <v>11.749891351586268</v>
      </c>
      <c r="X16" s="11">
        <v>15</v>
      </c>
      <c r="Y16" s="20">
        <v>29432</v>
      </c>
      <c r="Z16" s="2">
        <v>11.367038049190667</v>
      </c>
      <c r="AA16" s="2">
        <v>2.3507955829927831</v>
      </c>
      <c r="AB16" s="11">
        <v>13.8</v>
      </c>
      <c r="AC16" s="11">
        <v>69.7</v>
      </c>
      <c r="AD16" s="11">
        <v>29.7</v>
      </c>
      <c r="AE16" s="11">
        <v>22.1</v>
      </c>
      <c r="AF16" s="11">
        <v>33.299999999999997</v>
      </c>
      <c r="AG16" s="2">
        <v>347</v>
      </c>
      <c r="AH16" s="2">
        <v>4166</v>
      </c>
      <c r="AI16" s="2">
        <v>4473</v>
      </c>
      <c r="AJ16" s="2">
        <v>2162.92</v>
      </c>
      <c r="AK16" s="2">
        <v>7724.7142857142853</v>
      </c>
      <c r="AL16" s="11">
        <v>67.5</v>
      </c>
      <c r="AM16" s="11">
        <v>26.8</v>
      </c>
      <c r="AN16" s="2">
        <v>807.05970149253733</v>
      </c>
      <c r="AO16" s="2">
        <v>1422.9736842105262</v>
      </c>
      <c r="AP16" s="2">
        <v>2351</v>
      </c>
      <c r="AQ16" s="2">
        <v>6008.1111111111113</v>
      </c>
      <c r="AR16" s="2">
        <v>260</v>
      </c>
      <c r="AS16" s="2">
        <v>8.0446803395409905</v>
      </c>
    </row>
    <row r="17" spans="1:45" ht="13.5" x14ac:dyDescent="0.2">
      <c r="A17" s="1" t="s">
        <v>16</v>
      </c>
      <c r="B17" s="2">
        <v>1098</v>
      </c>
      <c r="C17" s="11">
        <v>4.7</v>
      </c>
      <c r="D17" s="11">
        <v>5.7</v>
      </c>
      <c r="E17" s="11">
        <v>32.5</v>
      </c>
      <c r="F17" s="11">
        <v>46.9</v>
      </c>
      <c r="G17" s="11">
        <v>88.5</v>
      </c>
      <c r="H17" s="22">
        <v>1.3</v>
      </c>
      <c r="I17" s="11">
        <v>80.599999999999994</v>
      </c>
      <c r="J17" s="11">
        <v>3.6</v>
      </c>
      <c r="K17" s="13" t="s">
        <v>135</v>
      </c>
      <c r="L17" s="14">
        <v>11.9</v>
      </c>
      <c r="M17" s="20">
        <v>92</v>
      </c>
      <c r="N17" s="16">
        <v>274.5</v>
      </c>
      <c r="O17" s="16">
        <v>219.6</v>
      </c>
      <c r="P17" s="15">
        <v>1.5482695810564664</v>
      </c>
      <c r="Q17" s="11">
        <v>58.7</v>
      </c>
      <c r="R17" s="11">
        <v>9.5</v>
      </c>
      <c r="S17" s="11">
        <v>4.0999999999999996</v>
      </c>
      <c r="T17" s="11">
        <v>12.4</v>
      </c>
      <c r="U17" s="11">
        <v>12.4</v>
      </c>
      <c r="V17" s="13" t="s">
        <v>135</v>
      </c>
      <c r="W17" s="2">
        <v>10.660194174757281</v>
      </c>
      <c r="X17" s="11">
        <v>30.2</v>
      </c>
      <c r="Y17" s="20">
        <v>18965</v>
      </c>
      <c r="Z17" s="2">
        <v>15.25</v>
      </c>
      <c r="AA17" s="2">
        <v>1.589001447178003</v>
      </c>
      <c r="AB17" s="2">
        <v>0</v>
      </c>
      <c r="AC17" s="11">
        <v>50.7</v>
      </c>
      <c r="AD17" s="11">
        <v>31.9</v>
      </c>
      <c r="AE17" s="2">
        <v>0</v>
      </c>
      <c r="AF17" s="2">
        <v>0</v>
      </c>
      <c r="AG17" s="2">
        <v>500</v>
      </c>
      <c r="AH17" s="12" t="s">
        <v>134</v>
      </c>
      <c r="AI17" s="12" t="s">
        <v>134</v>
      </c>
      <c r="AJ17" s="12" t="s">
        <v>137</v>
      </c>
      <c r="AK17" s="2" t="s">
        <v>137</v>
      </c>
      <c r="AL17" s="13" t="s">
        <v>135</v>
      </c>
      <c r="AM17" s="13" t="s">
        <v>135</v>
      </c>
      <c r="AN17" s="2" t="s">
        <v>137</v>
      </c>
      <c r="AO17" s="2" t="s">
        <v>137</v>
      </c>
      <c r="AP17" s="2" t="s">
        <v>137</v>
      </c>
      <c r="AQ17" s="2" t="s">
        <v>137</v>
      </c>
      <c r="AR17" s="2">
        <v>145</v>
      </c>
      <c r="AS17" s="2">
        <v>120.21857923497268</v>
      </c>
    </row>
    <row r="18" spans="1:45" ht="13.5" x14ac:dyDescent="0.2">
      <c r="A18" s="1" t="s">
        <v>17</v>
      </c>
      <c r="B18" s="2">
        <v>11662</v>
      </c>
      <c r="C18" s="11">
        <v>17</v>
      </c>
      <c r="D18" s="11">
        <v>20.3</v>
      </c>
      <c r="E18" s="11">
        <v>22.3</v>
      </c>
      <c r="F18" s="11">
        <v>37.1</v>
      </c>
      <c r="G18" s="11">
        <v>54.5</v>
      </c>
      <c r="H18" s="22">
        <v>1.8</v>
      </c>
      <c r="I18" s="11">
        <v>52.5</v>
      </c>
      <c r="J18" s="11">
        <v>18.399999999999999</v>
      </c>
      <c r="K18" s="11">
        <v>29.3</v>
      </c>
      <c r="L18" s="14">
        <v>29.4</v>
      </c>
      <c r="M18" s="20">
        <v>397</v>
      </c>
      <c r="N18" s="16">
        <v>131.03370786516854</v>
      </c>
      <c r="O18" s="16">
        <v>83.899280575539564</v>
      </c>
      <c r="P18" s="15">
        <v>0.20579660435602812</v>
      </c>
      <c r="Q18" s="11">
        <v>63.7</v>
      </c>
      <c r="R18" s="11">
        <v>6.6</v>
      </c>
      <c r="S18" s="11">
        <v>2.8</v>
      </c>
      <c r="T18" s="11">
        <v>6.3</v>
      </c>
      <c r="U18" s="11">
        <v>10.8</v>
      </c>
      <c r="V18" s="11">
        <v>20.5</v>
      </c>
      <c r="W18" s="2">
        <v>18.423380726698262</v>
      </c>
      <c r="X18" s="11">
        <v>5.5</v>
      </c>
      <c r="Y18" s="20">
        <v>39662</v>
      </c>
      <c r="Z18" s="2">
        <v>4.973134328358209</v>
      </c>
      <c r="AA18" s="2">
        <v>1.9712643678160919</v>
      </c>
      <c r="AB18" s="11">
        <v>32</v>
      </c>
      <c r="AC18" s="11">
        <v>75</v>
      </c>
      <c r="AD18" s="11">
        <v>38.1</v>
      </c>
      <c r="AE18" s="11">
        <v>8.6</v>
      </c>
      <c r="AF18" s="11">
        <v>63</v>
      </c>
      <c r="AG18" s="2">
        <v>684</v>
      </c>
      <c r="AH18" s="2">
        <v>3937</v>
      </c>
      <c r="AI18" s="12" t="s">
        <v>134</v>
      </c>
      <c r="AJ18" s="2">
        <v>2332.4</v>
      </c>
      <c r="AK18" s="2">
        <v>5831</v>
      </c>
      <c r="AL18" s="11">
        <v>54.1</v>
      </c>
      <c r="AM18" s="11">
        <v>41.4</v>
      </c>
      <c r="AN18" s="2">
        <v>1666</v>
      </c>
      <c r="AO18" s="2">
        <v>2332.4</v>
      </c>
      <c r="AP18" s="2">
        <v>1295.7777777777778</v>
      </c>
      <c r="AQ18" s="2">
        <v>5831</v>
      </c>
      <c r="AR18" s="2">
        <v>371</v>
      </c>
      <c r="AS18" s="2">
        <v>26.153318470245242</v>
      </c>
    </row>
    <row r="19" spans="1:45" ht="13.5" x14ac:dyDescent="0.2">
      <c r="A19" s="1" t="s">
        <v>18</v>
      </c>
      <c r="B19" s="2">
        <v>29680</v>
      </c>
      <c r="C19" s="11">
        <v>14.9</v>
      </c>
      <c r="D19" s="11">
        <v>13.8</v>
      </c>
      <c r="E19" s="11">
        <v>21.5</v>
      </c>
      <c r="F19" s="11">
        <v>41.7</v>
      </c>
      <c r="G19" s="11">
        <v>56.7</v>
      </c>
      <c r="H19" s="22">
        <v>1.6</v>
      </c>
      <c r="I19" s="11">
        <v>64.5</v>
      </c>
      <c r="J19" s="11">
        <v>14.8</v>
      </c>
      <c r="K19" s="11">
        <v>33.5</v>
      </c>
      <c r="L19" s="14">
        <v>2.7</v>
      </c>
      <c r="M19" s="20">
        <v>10993</v>
      </c>
      <c r="N19" s="2">
        <v>115.9375</v>
      </c>
      <c r="O19" s="2">
        <v>123.66666666666667</v>
      </c>
      <c r="P19" s="15">
        <v>-0.24258760107816713</v>
      </c>
      <c r="Q19" s="11">
        <v>60</v>
      </c>
      <c r="R19" s="11">
        <v>8.3000000000000007</v>
      </c>
      <c r="S19" s="11">
        <v>3.4</v>
      </c>
      <c r="T19" s="11">
        <v>10.199999999999999</v>
      </c>
      <c r="U19" s="11">
        <v>11.4</v>
      </c>
      <c r="V19" s="11">
        <v>19.2</v>
      </c>
      <c r="W19" s="2">
        <v>14.606299212598426</v>
      </c>
      <c r="X19" s="11">
        <v>17.3</v>
      </c>
      <c r="Y19" s="20">
        <v>42848</v>
      </c>
      <c r="Z19" s="2">
        <v>17.346580946814729</v>
      </c>
      <c r="AA19" s="2">
        <v>1.8106393362615911</v>
      </c>
      <c r="AB19" s="11">
        <v>1.8</v>
      </c>
      <c r="AC19" s="11">
        <v>63.6</v>
      </c>
      <c r="AD19" s="11">
        <v>35.1</v>
      </c>
      <c r="AE19" s="11">
        <v>12.1</v>
      </c>
      <c r="AF19" s="11">
        <v>30.3</v>
      </c>
      <c r="AG19" s="2">
        <v>1539</v>
      </c>
      <c r="AH19" s="12" t="s">
        <v>134</v>
      </c>
      <c r="AI19" s="2">
        <v>6908</v>
      </c>
      <c r="AJ19" s="2">
        <v>1060</v>
      </c>
      <c r="AK19" s="2">
        <v>9893.3333333333339</v>
      </c>
      <c r="AL19" s="11">
        <v>51.3</v>
      </c>
      <c r="AM19" s="11">
        <v>44.2</v>
      </c>
      <c r="AN19" s="2">
        <v>131.9111111111111</v>
      </c>
      <c r="AO19" s="2">
        <v>549.62962962962968</v>
      </c>
      <c r="AP19" s="2">
        <v>802.16216216216219</v>
      </c>
      <c r="AQ19" s="2">
        <v>4240</v>
      </c>
      <c r="AR19" s="2">
        <v>218</v>
      </c>
      <c r="AS19" s="2">
        <v>14.150943396226415</v>
      </c>
    </row>
    <row r="20" spans="1:45" ht="13.5" x14ac:dyDescent="0.2">
      <c r="A20" s="1" t="s">
        <v>19</v>
      </c>
      <c r="B20" s="2">
        <v>7669</v>
      </c>
      <c r="C20" s="11">
        <v>12.9</v>
      </c>
      <c r="D20" s="11">
        <v>11</v>
      </c>
      <c r="E20" s="11">
        <v>18.7</v>
      </c>
      <c r="F20" s="11">
        <v>36.299999999999997</v>
      </c>
      <c r="G20" s="11">
        <v>46.1</v>
      </c>
      <c r="H20" s="22">
        <v>1.5</v>
      </c>
      <c r="I20" s="11">
        <v>69.2</v>
      </c>
      <c r="J20" s="11">
        <v>13.1</v>
      </c>
      <c r="K20" s="11">
        <v>31</v>
      </c>
      <c r="L20" s="14">
        <v>0.5</v>
      </c>
      <c r="M20" s="20">
        <v>15338</v>
      </c>
      <c r="N20" s="2">
        <v>132.22413793103448</v>
      </c>
      <c r="O20" s="2">
        <v>77.464646464646464</v>
      </c>
      <c r="P20" s="15">
        <v>0.13039509714434738</v>
      </c>
      <c r="Q20" s="11">
        <v>59.9</v>
      </c>
      <c r="R20" s="11">
        <v>7.1</v>
      </c>
      <c r="S20" s="11">
        <v>2.6</v>
      </c>
      <c r="T20" s="11">
        <v>8.6</v>
      </c>
      <c r="U20" s="11">
        <v>7.9</v>
      </c>
      <c r="V20" s="11">
        <v>13.6</v>
      </c>
      <c r="W20" s="2">
        <v>20.02349869451697</v>
      </c>
      <c r="X20" s="11">
        <v>22.7</v>
      </c>
      <c r="Y20" s="20">
        <v>41402</v>
      </c>
      <c r="Z20" s="2">
        <v>16.247881355932204</v>
      </c>
      <c r="AA20" s="2">
        <v>1.7202781516375056</v>
      </c>
      <c r="AB20" s="11">
        <v>1</v>
      </c>
      <c r="AC20" s="11">
        <v>66.5</v>
      </c>
      <c r="AD20" s="11">
        <v>38.6</v>
      </c>
      <c r="AE20" s="11">
        <v>10.6</v>
      </c>
      <c r="AF20" s="11">
        <v>29.2</v>
      </c>
      <c r="AG20" s="2">
        <v>1559</v>
      </c>
      <c r="AH20" s="12" t="s">
        <v>134</v>
      </c>
      <c r="AI20" s="2">
        <v>6338</v>
      </c>
      <c r="AJ20" s="2">
        <v>1917.25</v>
      </c>
      <c r="AK20" s="2">
        <v>7669</v>
      </c>
      <c r="AL20" s="11">
        <v>43.7</v>
      </c>
      <c r="AM20" s="11">
        <v>47.7</v>
      </c>
      <c r="AN20" s="2">
        <v>191.72499999999999</v>
      </c>
      <c r="AO20" s="2">
        <v>1278.1666666666667</v>
      </c>
      <c r="AP20" s="2">
        <v>1278.1666666666667</v>
      </c>
      <c r="AQ20" s="2">
        <v>2556.3333333333335</v>
      </c>
      <c r="AR20" s="2">
        <v>186</v>
      </c>
      <c r="AS20" s="2">
        <v>12.90911461729039</v>
      </c>
    </row>
    <row r="21" spans="1:45" ht="13.5" x14ac:dyDescent="0.2">
      <c r="A21" s="1" t="s">
        <v>20</v>
      </c>
      <c r="B21" s="2">
        <v>26777</v>
      </c>
      <c r="C21" s="11">
        <v>16.5</v>
      </c>
      <c r="D21" s="11">
        <v>10.6</v>
      </c>
      <c r="E21" s="11">
        <v>20.7</v>
      </c>
      <c r="F21" s="11">
        <v>39.799999999999997</v>
      </c>
      <c r="G21" s="11">
        <v>50.3</v>
      </c>
      <c r="H21" s="22">
        <v>1.7</v>
      </c>
      <c r="I21" s="11">
        <v>60.7</v>
      </c>
      <c r="J21" s="11">
        <v>17.8</v>
      </c>
      <c r="K21" s="11">
        <v>27.2</v>
      </c>
      <c r="L21" s="14">
        <v>2.2000000000000002</v>
      </c>
      <c r="M21" s="20">
        <v>12171</v>
      </c>
      <c r="N21" s="2">
        <v>102.59386973180077</v>
      </c>
      <c r="O21" s="2">
        <v>183.4041095890411</v>
      </c>
      <c r="P21" s="15">
        <v>-0.50789856966799862</v>
      </c>
      <c r="Q21" s="11">
        <v>60.5</v>
      </c>
      <c r="R21" s="11">
        <v>7</v>
      </c>
      <c r="S21" s="11">
        <v>2.2999999999999998</v>
      </c>
      <c r="T21" s="11">
        <v>9.9</v>
      </c>
      <c r="U21" s="11">
        <v>9.6</v>
      </c>
      <c r="V21" s="11">
        <v>15.3</v>
      </c>
      <c r="W21" s="2">
        <v>17.219935691318327</v>
      </c>
      <c r="X21" s="11">
        <v>13.2</v>
      </c>
      <c r="Y21" s="20">
        <v>43079</v>
      </c>
      <c r="Z21" s="2">
        <v>20.331814730447988</v>
      </c>
      <c r="AA21" s="2">
        <v>1.7971140939597317</v>
      </c>
      <c r="AB21" s="11">
        <v>0.9</v>
      </c>
      <c r="AC21" s="11">
        <v>62</v>
      </c>
      <c r="AD21" s="11">
        <v>34.5</v>
      </c>
      <c r="AE21" s="11">
        <v>11.2</v>
      </c>
      <c r="AF21" s="11">
        <v>20.100000000000001</v>
      </c>
      <c r="AG21" s="2">
        <v>1304</v>
      </c>
      <c r="AH21" s="12" t="s">
        <v>134</v>
      </c>
      <c r="AI21" s="2">
        <v>6908</v>
      </c>
      <c r="AJ21" s="2">
        <v>1785.1333333333334</v>
      </c>
      <c r="AK21" s="2">
        <v>13388.5</v>
      </c>
      <c r="AL21" s="11">
        <v>50.6</v>
      </c>
      <c r="AM21" s="11">
        <v>43.8</v>
      </c>
      <c r="AN21" s="2">
        <v>514.94230769230774</v>
      </c>
      <c r="AO21" s="2">
        <v>4462.833333333333</v>
      </c>
      <c r="AP21" s="2">
        <v>3347.125</v>
      </c>
      <c r="AQ21" s="2">
        <v>6694.25</v>
      </c>
      <c r="AR21" s="2">
        <v>208</v>
      </c>
      <c r="AS21" s="2">
        <v>6.1246592224670424</v>
      </c>
    </row>
    <row r="22" spans="1:45" ht="13.5" x14ac:dyDescent="0.2">
      <c r="A22" s="1" t="s">
        <v>21</v>
      </c>
      <c r="B22" s="2">
        <v>35925</v>
      </c>
      <c r="C22" s="11">
        <v>14.7</v>
      </c>
      <c r="D22" s="11">
        <v>15.7</v>
      </c>
      <c r="E22" s="11">
        <v>13.6</v>
      </c>
      <c r="F22" s="11">
        <v>29.1</v>
      </c>
      <c r="G22" s="11">
        <v>39.1</v>
      </c>
      <c r="H22" s="22">
        <v>1.6</v>
      </c>
      <c r="I22" s="11">
        <v>62.1</v>
      </c>
      <c r="J22" s="11">
        <v>15.8</v>
      </c>
      <c r="K22" s="11">
        <v>27</v>
      </c>
      <c r="L22" s="14">
        <v>2.8</v>
      </c>
      <c r="M22" s="20">
        <v>12830</v>
      </c>
      <c r="N22" s="2">
        <v>111.91588785046729</v>
      </c>
      <c r="O22" s="2">
        <v>141.99604743083003</v>
      </c>
      <c r="P22" s="15">
        <v>1.1496172581767572</v>
      </c>
      <c r="Q22" s="11">
        <v>61.5</v>
      </c>
      <c r="R22" s="11">
        <v>5.7</v>
      </c>
      <c r="S22" s="11">
        <v>1.7</v>
      </c>
      <c r="T22" s="11">
        <v>7.6</v>
      </c>
      <c r="U22" s="11">
        <v>5.5</v>
      </c>
      <c r="V22" s="11">
        <v>8.1</v>
      </c>
      <c r="W22" s="2">
        <v>27.634615384615383</v>
      </c>
      <c r="X22" s="11">
        <v>8.1</v>
      </c>
      <c r="Y22" s="20">
        <v>53126</v>
      </c>
      <c r="Z22" s="2">
        <v>13.913632842757552</v>
      </c>
      <c r="AA22" s="2">
        <v>1.7566378172216517</v>
      </c>
      <c r="AB22" s="11">
        <v>2.5</v>
      </c>
      <c r="AC22" s="11">
        <v>69.900000000000006</v>
      </c>
      <c r="AD22" s="11">
        <v>39.799999999999997</v>
      </c>
      <c r="AE22" s="11">
        <v>3.8</v>
      </c>
      <c r="AF22" s="11">
        <v>20.3</v>
      </c>
      <c r="AG22" s="2">
        <v>1620</v>
      </c>
      <c r="AH22" s="12" t="s">
        <v>134</v>
      </c>
      <c r="AI22" s="2">
        <v>7338</v>
      </c>
      <c r="AJ22" s="2">
        <v>1026.4285714285713</v>
      </c>
      <c r="AK22" s="2">
        <v>17962.5</v>
      </c>
      <c r="AL22" s="11">
        <v>41.2</v>
      </c>
      <c r="AM22" s="11">
        <v>53</v>
      </c>
      <c r="AN22" s="2">
        <v>190.07936507936509</v>
      </c>
      <c r="AO22" s="2">
        <v>1330.5555555555557</v>
      </c>
      <c r="AP22" s="2">
        <v>718.5</v>
      </c>
      <c r="AQ22" s="2">
        <v>3991.6666666666665</v>
      </c>
      <c r="AR22" s="2">
        <v>257</v>
      </c>
      <c r="AS22" s="2">
        <v>13.221990257480863</v>
      </c>
    </row>
    <row r="23" spans="1:45" ht="13.5" x14ac:dyDescent="0.2">
      <c r="A23" s="1" t="s">
        <v>22</v>
      </c>
      <c r="B23" s="2">
        <v>31051</v>
      </c>
      <c r="C23" s="11">
        <v>17.100000000000001</v>
      </c>
      <c r="D23" s="11">
        <v>13.3</v>
      </c>
      <c r="E23" s="11">
        <v>24</v>
      </c>
      <c r="F23" s="11">
        <v>39.299999999999997</v>
      </c>
      <c r="G23" s="11">
        <v>52.8</v>
      </c>
      <c r="H23" s="22">
        <v>1.7</v>
      </c>
      <c r="I23" s="11">
        <v>60.4</v>
      </c>
      <c r="J23" s="11">
        <v>16.8</v>
      </c>
      <c r="K23" s="11">
        <v>25.9</v>
      </c>
      <c r="L23" s="14">
        <v>10.5</v>
      </c>
      <c r="M23" s="20">
        <v>2957</v>
      </c>
      <c r="N23" s="2">
        <v>105.97610921501706</v>
      </c>
      <c r="O23" s="2">
        <v>126.22357723577235</v>
      </c>
      <c r="P23" s="15">
        <v>-1.3622749669897909</v>
      </c>
      <c r="Q23" s="11">
        <v>60.4</v>
      </c>
      <c r="R23" s="11">
        <v>7.9</v>
      </c>
      <c r="S23" s="11">
        <v>3.6</v>
      </c>
      <c r="T23" s="11">
        <v>8.5</v>
      </c>
      <c r="U23" s="11">
        <v>12.1</v>
      </c>
      <c r="V23" s="11">
        <v>19.5</v>
      </c>
      <c r="W23" s="2">
        <v>14.178538812785389</v>
      </c>
      <c r="X23" s="11">
        <v>11.1</v>
      </c>
      <c r="Y23" s="20">
        <v>45280</v>
      </c>
      <c r="Z23" s="2">
        <v>8.6013850415512465</v>
      </c>
      <c r="AA23" s="2">
        <v>2.0439046866771986</v>
      </c>
      <c r="AB23" s="11">
        <v>15.8</v>
      </c>
      <c r="AC23" s="11">
        <v>69.099999999999994</v>
      </c>
      <c r="AD23" s="11">
        <v>33.799999999999997</v>
      </c>
      <c r="AE23" s="11">
        <v>2.8</v>
      </c>
      <c r="AF23" s="11">
        <v>38.4</v>
      </c>
      <c r="AG23" s="2">
        <v>923</v>
      </c>
      <c r="AH23" s="2">
        <v>5203</v>
      </c>
      <c r="AI23" s="2">
        <v>5630</v>
      </c>
      <c r="AJ23" s="2">
        <v>1242.04</v>
      </c>
      <c r="AK23" s="2">
        <v>10350.333333333334</v>
      </c>
      <c r="AL23" s="11">
        <v>56.3</v>
      </c>
      <c r="AM23" s="11">
        <v>38.799999999999997</v>
      </c>
      <c r="AN23" s="2">
        <v>675.02173913043475</v>
      </c>
      <c r="AO23" s="2">
        <v>2587.5833333333335</v>
      </c>
      <c r="AP23" s="2">
        <v>1478.6190476190477</v>
      </c>
      <c r="AQ23" s="2">
        <v>15525.5</v>
      </c>
      <c r="AR23" s="2">
        <v>273</v>
      </c>
      <c r="AS23" s="2">
        <v>28.276061962577696</v>
      </c>
    </row>
    <row r="24" spans="1:45" ht="13.5" x14ac:dyDescent="0.2">
      <c r="A24" s="1" t="s">
        <v>23</v>
      </c>
      <c r="B24" s="2">
        <v>11319</v>
      </c>
      <c r="C24" s="11">
        <v>19.7</v>
      </c>
      <c r="D24" s="11">
        <v>20.8</v>
      </c>
      <c r="E24" s="11">
        <v>14.5</v>
      </c>
      <c r="F24" s="11">
        <v>27.3</v>
      </c>
      <c r="G24" s="11">
        <v>34.299999999999997</v>
      </c>
      <c r="H24" s="22">
        <v>2.1</v>
      </c>
      <c r="I24" s="11">
        <v>44.8</v>
      </c>
      <c r="J24" s="11">
        <v>24</v>
      </c>
      <c r="K24" s="11">
        <v>15.5</v>
      </c>
      <c r="L24" s="14">
        <v>2.4</v>
      </c>
      <c r="M24" s="20">
        <v>4716</v>
      </c>
      <c r="N24" s="2">
        <v>128.625</v>
      </c>
      <c r="O24" s="2">
        <v>136.37349397590361</v>
      </c>
      <c r="P24" s="15">
        <v>0.30037989221662692</v>
      </c>
      <c r="Q24" s="11">
        <v>54</v>
      </c>
      <c r="R24" s="11">
        <v>2.6</v>
      </c>
      <c r="S24" s="12" t="s">
        <v>134</v>
      </c>
      <c r="T24" s="11">
        <v>3</v>
      </c>
      <c r="U24" s="11">
        <v>1.2</v>
      </c>
      <c r="V24" s="11">
        <v>1.4</v>
      </c>
      <c r="W24" s="2">
        <v>136.37349397590361</v>
      </c>
      <c r="X24" s="11">
        <v>2.7</v>
      </c>
      <c r="Y24" s="20">
        <v>137079</v>
      </c>
      <c r="Z24" s="2">
        <v>4.5421348314606744</v>
      </c>
      <c r="AA24" s="2">
        <v>2.0405624661979447</v>
      </c>
      <c r="AB24" s="11">
        <v>38.799999999999997</v>
      </c>
      <c r="AC24" s="11">
        <v>108.7</v>
      </c>
      <c r="AD24" s="11">
        <v>53.3</v>
      </c>
      <c r="AE24" s="11">
        <v>0.6</v>
      </c>
      <c r="AF24" s="11">
        <v>62.5</v>
      </c>
      <c r="AG24" s="2">
        <v>1531</v>
      </c>
      <c r="AH24" s="2">
        <v>7876</v>
      </c>
      <c r="AI24" s="2">
        <v>7032</v>
      </c>
      <c r="AJ24" s="2">
        <v>1257.6666666666667</v>
      </c>
      <c r="AK24" s="2">
        <v>11319</v>
      </c>
      <c r="AL24" s="11">
        <v>10.4</v>
      </c>
      <c r="AM24" s="11">
        <v>86.8</v>
      </c>
      <c r="AN24" s="2">
        <v>185.55737704918033</v>
      </c>
      <c r="AO24" s="2">
        <v>870.69230769230774</v>
      </c>
      <c r="AP24" s="2">
        <v>539</v>
      </c>
      <c r="AQ24" s="2">
        <v>2829.75</v>
      </c>
      <c r="AR24" s="2">
        <v>414</v>
      </c>
      <c r="AS24" s="2">
        <v>18.641222722855375</v>
      </c>
    </row>
    <row r="25" spans="1:45" ht="13.5" x14ac:dyDescent="0.2">
      <c r="A25" s="1" t="s">
        <v>24</v>
      </c>
      <c r="B25" s="2">
        <v>16528</v>
      </c>
      <c r="C25" s="11">
        <v>20.3</v>
      </c>
      <c r="D25" s="11">
        <v>20.6</v>
      </c>
      <c r="E25" s="11">
        <v>15.5</v>
      </c>
      <c r="F25" s="11">
        <v>30.1</v>
      </c>
      <c r="G25" s="11">
        <v>40.4</v>
      </c>
      <c r="H25" s="22">
        <v>2.1</v>
      </c>
      <c r="I25" s="11">
        <v>43.5</v>
      </c>
      <c r="J25" s="11">
        <v>24.3</v>
      </c>
      <c r="K25" s="11">
        <v>16.899999999999999</v>
      </c>
      <c r="L25" s="14">
        <v>5.9</v>
      </c>
      <c r="M25" s="20">
        <v>2801</v>
      </c>
      <c r="N25" s="2">
        <v>127.13846153846154</v>
      </c>
      <c r="O25" s="2">
        <v>100.16969696969697</v>
      </c>
      <c r="P25" s="15">
        <v>-0.58083252662149076</v>
      </c>
      <c r="Q25" s="11">
        <v>56</v>
      </c>
      <c r="R25" s="11">
        <v>3.3</v>
      </c>
      <c r="S25" s="11">
        <v>0.8</v>
      </c>
      <c r="T25" s="11">
        <v>3.3</v>
      </c>
      <c r="U25" s="11">
        <v>3.5</v>
      </c>
      <c r="V25" s="11">
        <v>7.8</v>
      </c>
      <c r="W25" s="2">
        <v>69.154811715481173</v>
      </c>
      <c r="X25" s="11">
        <v>3.3</v>
      </c>
      <c r="Y25" s="20">
        <v>122246</v>
      </c>
      <c r="Z25" s="2">
        <v>5.7911702873160475</v>
      </c>
      <c r="AA25" s="2">
        <v>2.1307206394224569</v>
      </c>
      <c r="AB25" s="11">
        <v>30.8</v>
      </c>
      <c r="AC25" s="11">
        <v>110.7</v>
      </c>
      <c r="AD25" s="11">
        <v>52</v>
      </c>
      <c r="AE25" s="11">
        <v>4.4000000000000004</v>
      </c>
      <c r="AF25" s="11">
        <v>41.5</v>
      </c>
      <c r="AG25" s="2">
        <v>1718</v>
      </c>
      <c r="AH25" s="2">
        <v>8622</v>
      </c>
      <c r="AI25" s="2">
        <v>7948</v>
      </c>
      <c r="AJ25" s="2">
        <v>1502.5454545454545</v>
      </c>
      <c r="AK25" s="2">
        <v>4132</v>
      </c>
      <c r="AL25" s="11">
        <v>19.8</v>
      </c>
      <c r="AM25" s="11">
        <v>75.3</v>
      </c>
      <c r="AN25" s="2">
        <v>367.28888888888889</v>
      </c>
      <c r="AO25" s="2">
        <v>2066</v>
      </c>
      <c r="AP25" s="2">
        <v>2066</v>
      </c>
      <c r="AQ25" s="2">
        <v>8264</v>
      </c>
      <c r="AR25" s="2">
        <v>415</v>
      </c>
      <c r="AS25" s="2">
        <v>82.950145208131659</v>
      </c>
    </row>
    <row r="26" spans="1:45" ht="13.5" x14ac:dyDescent="0.2">
      <c r="A26" s="1" t="s">
        <v>25</v>
      </c>
      <c r="B26" s="2">
        <v>37755</v>
      </c>
      <c r="C26" s="11">
        <v>20.399999999999999</v>
      </c>
      <c r="D26" s="11">
        <v>18</v>
      </c>
      <c r="E26" s="11">
        <v>24.9</v>
      </c>
      <c r="F26" s="11">
        <v>54.7</v>
      </c>
      <c r="G26" s="11">
        <v>71.900000000000006</v>
      </c>
      <c r="H26" s="22">
        <v>2</v>
      </c>
      <c r="I26" s="11">
        <v>46.9</v>
      </c>
      <c r="J26" s="11">
        <v>23.2</v>
      </c>
      <c r="K26" s="11">
        <v>29.7</v>
      </c>
      <c r="L26" s="14">
        <v>6.3</v>
      </c>
      <c r="M26" s="20">
        <v>5993</v>
      </c>
      <c r="N26" s="2">
        <v>107.25852272727273</v>
      </c>
      <c r="O26" s="2">
        <v>86.395881006864983</v>
      </c>
      <c r="P26" s="15">
        <v>0.98265130446298499</v>
      </c>
      <c r="Q26" s="11">
        <v>59.8</v>
      </c>
      <c r="R26" s="11">
        <v>8.5</v>
      </c>
      <c r="S26" s="11">
        <v>4.0999999999999996</v>
      </c>
      <c r="T26" s="11">
        <v>7.2</v>
      </c>
      <c r="U26" s="11">
        <v>14.7</v>
      </c>
      <c r="V26" s="11">
        <v>24.4</v>
      </c>
      <c r="W26" s="2">
        <v>14.432339449541285</v>
      </c>
      <c r="X26" s="11">
        <v>13</v>
      </c>
      <c r="Y26" s="20">
        <v>35445</v>
      </c>
      <c r="Z26" s="2">
        <v>6.5878555225964055</v>
      </c>
      <c r="AA26" s="2">
        <v>2.2236291889981743</v>
      </c>
      <c r="AB26" s="11">
        <v>31</v>
      </c>
      <c r="AC26" s="11">
        <v>77.400000000000006</v>
      </c>
      <c r="AD26" s="11">
        <v>34.799999999999997</v>
      </c>
      <c r="AE26" s="11">
        <v>12.6</v>
      </c>
      <c r="AF26" s="11">
        <v>45.4</v>
      </c>
      <c r="AG26" s="2">
        <v>599</v>
      </c>
      <c r="AH26" s="2">
        <v>4313</v>
      </c>
      <c r="AI26" s="2">
        <v>4109</v>
      </c>
      <c r="AJ26" s="2">
        <v>1797.8571428571429</v>
      </c>
      <c r="AK26" s="2">
        <v>9438.75</v>
      </c>
      <c r="AL26" s="11">
        <v>65.099999999999994</v>
      </c>
      <c r="AM26" s="11">
        <v>30.6</v>
      </c>
      <c r="AN26" s="2">
        <v>1110.4411764705883</v>
      </c>
      <c r="AO26" s="2">
        <v>2097.5</v>
      </c>
      <c r="AP26" s="2">
        <v>3432.2727272727275</v>
      </c>
      <c r="AQ26" s="2">
        <v>9438.75</v>
      </c>
      <c r="AR26" s="2">
        <v>321</v>
      </c>
      <c r="AS26" s="2">
        <v>9.1378625347636078</v>
      </c>
    </row>
    <row r="27" spans="1:45" ht="13.5" x14ac:dyDescent="0.2">
      <c r="A27" s="1" t="s">
        <v>26</v>
      </c>
      <c r="B27" s="2">
        <v>26601</v>
      </c>
      <c r="C27" s="11">
        <v>19.5</v>
      </c>
      <c r="D27" s="11">
        <v>21.6</v>
      </c>
      <c r="E27" s="11">
        <v>20.9</v>
      </c>
      <c r="F27" s="11">
        <v>45.3</v>
      </c>
      <c r="G27" s="11">
        <v>61.4</v>
      </c>
      <c r="H27" s="22">
        <v>2</v>
      </c>
      <c r="I27" s="11">
        <v>48.3</v>
      </c>
      <c r="J27" s="11">
        <v>22.2</v>
      </c>
      <c r="K27" s="11">
        <v>27</v>
      </c>
      <c r="L27" s="14">
        <v>7.3</v>
      </c>
      <c r="M27" s="20">
        <v>3644</v>
      </c>
      <c r="N27" s="2">
        <v>144.57065217391303</v>
      </c>
      <c r="O27" s="2">
        <v>76.659942363112393</v>
      </c>
      <c r="P27" s="15">
        <v>1.4999436111424382</v>
      </c>
      <c r="Q27" s="11">
        <v>57.9</v>
      </c>
      <c r="R27" s="11">
        <v>7</v>
      </c>
      <c r="S27" s="11">
        <v>3.2</v>
      </c>
      <c r="T27" s="11">
        <v>6.5</v>
      </c>
      <c r="U27" s="11">
        <v>11.2</v>
      </c>
      <c r="V27" s="11">
        <v>17.2</v>
      </c>
      <c r="W27" s="2">
        <v>18.071331521739129</v>
      </c>
      <c r="X27" s="11">
        <v>10.8</v>
      </c>
      <c r="Y27" s="20">
        <v>58530</v>
      </c>
      <c r="Z27" s="2">
        <v>6.4378025169409483</v>
      </c>
      <c r="AA27" s="2">
        <v>2.1745279162919973</v>
      </c>
      <c r="AB27" s="11">
        <v>27.1</v>
      </c>
      <c r="AC27" s="11">
        <v>87.1</v>
      </c>
      <c r="AD27" s="11">
        <v>40.1</v>
      </c>
      <c r="AE27" s="11">
        <v>7.5</v>
      </c>
      <c r="AF27" s="11">
        <v>44.6</v>
      </c>
      <c r="AG27" s="2">
        <v>1056</v>
      </c>
      <c r="AH27" s="2">
        <v>6329</v>
      </c>
      <c r="AI27" s="2">
        <v>5062</v>
      </c>
      <c r="AJ27" s="2">
        <v>1564.7647058823529</v>
      </c>
      <c r="AK27" s="2">
        <v>6650.25</v>
      </c>
      <c r="AL27" s="11">
        <v>49.3</v>
      </c>
      <c r="AM27" s="11">
        <v>45.9</v>
      </c>
      <c r="AN27" s="2">
        <v>397.02985074626866</v>
      </c>
      <c r="AO27" s="2">
        <v>1477.8333333333333</v>
      </c>
      <c r="AP27" s="2">
        <v>1662.5625</v>
      </c>
      <c r="AQ27" s="2">
        <v>5320.2</v>
      </c>
      <c r="AR27" s="2">
        <v>349</v>
      </c>
      <c r="AS27" s="2">
        <v>11.31536408405699</v>
      </c>
    </row>
    <row r="28" spans="1:45" ht="13.5" x14ac:dyDescent="0.2">
      <c r="A28" s="1" t="s">
        <v>27</v>
      </c>
      <c r="B28" s="2">
        <v>7062</v>
      </c>
      <c r="C28" s="11">
        <v>17.899999999999999</v>
      </c>
      <c r="D28" s="11">
        <v>26.7</v>
      </c>
      <c r="E28" s="11">
        <v>11.7</v>
      </c>
      <c r="F28" s="11">
        <v>22.5</v>
      </c>
      <c r="G28" s="11">
        <v>30.5</v>
      </c>
      <c r="H28" s="22">
        <v>2</v>
      </c>
      <c r="I28" s="11">
        <v>45.8</v>
      </c>
      <c r="J28" s="11">
        <v>20.8</v>
      </c>
      <c r="K28" s="11">
        <v>15.2</v>
      </c>
      <c r="L28" s="14">
        <v>4.4000000000000004</v>
      </c>
      <c r="M28" s="20">
        <v>1605</v>
      </c>
      <c r="N28" s="2">
        <v>190.86486486486487</v>
      </c>
      <c r="O28" s="2">
        <v>74.336842105263159</v>
      </c>
      <c r="P28" s="15">
        <v>1.0761823845935996</v>
      </c>
      <c r="Q28" s="11">
        <v>48.6</v>
      </c>
      <c r="R28" s="11">
        <v>2.4</v>
      </c>
      <c r="S28" s="12" t="s">
        <v>134</v>
      </c>
      <c r="T28" s="11">
        <v>3.8</v>
      </c>
      <c r="U28" s="11">
        <v>1</v>
      </c>
      <c r="V28" s="11">
        <v>2</v>
      </c>
      <c r="W28" s="2">
        <v>176.55</v>
      </c>
      <c r="X28" s="11">
        <v>0.8</v>
      </c>
      <c r="Y28" s="20">
        <v>168404</v>
      </c>
      <c r="Z28" s="2">
        <v>3.8255687973997832</v>
      </c>
      <c r="AA28" s="2">
        <v>2.1890886546807193</v>
      </c>
      <c r="AB28" s="11">
        <v>52</v>
      </c>
      <c r="AC28" s="11">
        <v>129.1</v>
      </c>
      <c r="AD28" s="11">
        <v>59</v>
      </c>
      <c r="AE28" s="11">
        <v>0.2</v>
      </c>
      <c r="AF28" s="2">
        <v>0</v>
      </c>
      <c r="AG28" s="2">
        <v>1661</v>
      </c>
      <c r="AH28" s="2">
        <v>8902</v>
      </c>
      <c r="AI28" s="2">
        <v>7560</v>
      </c>
      <c r="AJ28" s="2">
        <v>1008.8571428571429</v>
      </c>
      <c r="AK28" s="2">
        <v>7062</v>
      </c>
      <c r="AL28" s="11">
        <v>17.600000000000001</v>
      </c>
      <c r="AM28" s="11">
        <v>72.3</v>
      </c>
      <c r="AN28" s="2">
        <v>543.23076923076928</v>
      </c>
      <c r="AO28" s="2">
        <v>3531</v>
      </c>
      <c r="AP28" s="2">
        <v>1008.8571428571429</v>
      </c>
      <c r="AQ28" s="2">
        <v>3531</v>
      </c>
      <c r="AR28" s="2">
        <v>502</v>
      </c>
      <c r="AS28" s="2">
        <v>28.462192013593882</v>
      </c>
    </row>
    <row r="29" spans="1:45" ht="13.5" x14ac:dyDescent="0.2">
      <c r="A29" s="1" t="s">
        <v>28</v>
      </c>
      <c r="B29" s="2">
        <v>13487</v>
      </c>
      <c r="C29" s="11">
        <v>17.5</v>
      </c>
      <c r="D29" s="11">
        <v>27.9</v>
      </c>
      <c r="E29" s="11">
        <v>9.1</v>
      </c>
      <c r="F29" s="11">
        <v>20.9</v>
      </c>
      <c r="G29" s="11">
        <v>30.5</v>
      </c>
      <c r="H29" s="22">
        <v>2</v>
      </c>
      <c r="I29" s="11">
        <v>46.3</v>
      </c>
      <c r="J29" s="11">
        <v>19.899999999999999</v>
      </c>
      <c r="K29" s="11">
        <v>16.3</v>
      </c>
      <c r="L29" s="14">
        <v>7.7</v>
      </c>
      <c r="M29" s="20">
        <v>1752</v>
      </c>
      <c r="N29" s="2">
        <v>189.95774647887325</v>
      </c>
      <c r="O29" s="2">
        <v>119.35398230088495</v>
      </c>
      <c r="P29" s="15">
        <v>0.14087639949581079</v>
      </c>
      <c r="Q29" s="11">
        <v>50.7</v>
      </c>
      <c r="R29" s="11">
        <v>2.6</v>
      </c>
      <c r="S29" s="11">
        <v>0.8</v>
      </c>
      <c r="T29" s="11">
        <v>3</v>
      </c>
      <c r="U29" s="11">
        <v>1.3</v>
      </c>
      <c r="V29" s="11">
        <v>1.6</v>
      </c>
      <c r="W29" s="2">
        <v>105.3671875</v>
      </c>
      <c r="X29" s="11">
        <v>2.1</v>
      </c>
      <c r="Y29" s="20">
        <v>158334</v>
      </c>
      <c r="Z29" s="2">
        <v>3.8174356071327482</v>
      </c>
      <c r="AA29" s="2">
        <v>1.9775659824046921</v>
      </c>
      <c r="AB29" s="11">
        <v>46.4</v>
      </c>
      <c r="AC29" s="11">
        <v>121.2</v>
      </c>
      <c r="AD29" s="11">
        <v>61.3</v>
      </c>
      <c r="AE29" s="11">
        <v>1.7</v>
      </c>
      <c r="AF29" s="2">
        <v>0</v>
      </c>
      <c r="AG29" s="2">
        <v>1954</v>
      </c>
      <c r="AH29" s="2">
        <v>8684</v>
      </c>
      <c r="AI29" s="2">
        <v>6823</v>
      </c>
      <c r="AJ29" s="2">
        <v>1685.875</v>
      </c>
      <c r="AK29" s="2">
        <v>13487</v>
      </c>
      <c r="AL29" s="11">
        <v>15.6</v>
      </c>
      <c r="AM29" s="11">
        <v>80.8</v>
      </c>
      <c r="AN29" s="2">
        <v>107.896</v>
      </c>
      <c r="AO29" s="2">
        <v>674.35</v>
      </c>
      <c r="AP29" s="2">
        <v>518.73076923076928</v>
      </c>
      <c r="AQ29" s="2">
        <v>3371.75</v>
      </c>
      <c r="AR29" s="2">
        <v>489</v>
      </c>
      <c r="AS29" s="2">
        <v>22.169496552235486</v>
      </c>
    </row>
    <row r="30" spans="1:45" ht="13.5" x14ac:dyDescent="0.2">
      <c r="A30" s="1" t="s">
        <v>29</v>
      </c>
      <c r="B30" s="2">
        <v>11523</v>
      </c>
      <c r="C30" s="11">
        <v>17.8</v>
      </c>
      <c r="D30" s="11">
        <v>25</v>
      </c>
      <c r="E30" s="11">
        <v>12.4</v>
      </c>
      <c r="F30" s="11">
        <v>28.2</v>
      </c>
      <c r="G30" s="11">
        <v>42.5</v>
      </c>
      <c r="H30" s="22">
        <v>1.9</v>
      </c>
      <c r="I30" s="11">
        <v>47.9</v>
      </c>
      <c r="J30" s="11">
        <v>21.2</v>
      </c>
      <c r="K30" s="11">
        <v>22.1</v>
      </c>
      <c r="L30" s="14">
        <v>2.7</v>
      </c>
      <c r="M30" s="20">
        <v>4268</v>
      </c>
      <c r="N30" s="2">
        <v>151.61842105263159</v>
      </c>
      <c r="O30" s="2">
        <v>66.224137931034477</v>
      </c>
      <c r="P30" s="15">
        <v>1.0066822875987156</v>
      </c>
      <c r="Q30" s="11">
        <v>62.3</v>
      </c>
      <c r="R30" s="11">
        <v>4.5</v>
      </c>
      <c r="S30" s="11">
        <v>1.6</v>
      </c>
      <c r="T30" s="11">
        <v>4.5999999999999996</v>
      </c>
      <c r="U30" s="11">
        <v>5.6</v>
      </c>
      <c r="V30" s="11">
        <v>9.6999999999999993</v>
      </c>
      <c r="W30" s="2">
        <v>34.397014925373135</v>
      </c>
      <c r="X30" s="11">
        <v>5.0999999999999996</v>
      </c>
      <c r="Y30" s="20">
        <v>53159</v>
      </c>
      <c r="Z30" s="2">
        <v>4.5348288075560799</v>
      </c>
      <c r="AA30" s="2">
        <v>2.0496264674493063</v>
      </c>
      <c r="AB30" s="11">
        <v>41.3</v>
      </c>
      <c r="AC30" s="11">
        <v>86.1</v>
      </c>
      <c r="AD30" s="11">
        <v>42</v>
      </c>
      <c r="AE30" s="11">
        <v>3.3</v>
      </c>
      <c r="AF30" s="2">
        <v>0</v>
      </c>
      <c r="AG30" s="2">
        <v>795</v>
      </c>
      <c r="AH30" s="2">
        <v>5366</v>
      </c>
      <c r="AI30" s="2">
        <v>4668</v>
      </c>
      <c r="AJ30" s="2">
        <v>1440.375</v>
      </c>
      <c r="AK30" s="2">
        <v>3841</v>
      </c>
      <c r="AL30" s="11">
        <v>48.5</v>
      </c>
      <c r="AM30" s="11">
        <v>45.6</v>
      </c>
      <c r="AN30" s="2">
        <v>1152.3</v>
      </c>
      <c r="AO30" s="2">
        <v>2880.75</v>
      </c>
      <c r="AP30" s="2">
        <v>1920.5</v>
      </c>
      <c r="AQ30" s="2" t="s">
        <v>137</v>
      </c>
      <c r="AR30" s="2">
        <v>391</v>
      </c>
      <c r="AS30" s="2">
        <v>11.108218345916862</v>
      </c>
    </row>
    <row r="31" spans="1:45" ht="13.5" x14ac:dyDescent="0.2">
      <c r="A31" s="1" t="s">
        <v>30</v>
      </c>
      <c r="B31" s="2">
        <v>9330</v>
      </c>
      <c r="C31" s="11">
        <v>19.100000000000001</v>
      </c>
      <c r="D31" s="11">
        <v>21.8</v>
      </c>
      <c r="E31" s="11">
        <v>15.9</v>
      </c>
      <c r="F31" s="11">
        <v>29.3</v>
      </c>
      <c r="G31" s="11">
        <v>42.1</v>
      </c>
      <c r="H31" s="22">
        <v>2</v>
      </c>
      <c r="I31" s="11">
        <v>47.6</v>
      </c>
      <c r="J31" s="11">
        <v>20.7</v>
      </c>
      <c r="K31" s="11">
        <v>24.1</v>
      </c>
      <c r="L31" s="14">
        <v>5.7</v>
      </c>
      <c r="M31" s="20">
        <v>1637</v>
      </c>
      <c r="N31" s="2">
        <v>139.25373134328359</v>
      </c>
      <c r="O31" s="2">
        <v>92.376237623762378</v>
      </c>
      <c r="P31" s="15">
        <v>-0.2465166130760986</v>
      </c>
      <c r="Q31" s="11">
        <v>56.8</v>
      </c>
      <c r="R31" s="11">
        <v>6</v>
      </c>
      <c r="S31" s="11">
        <v>1.9</v>
      </c>
      <c r="T31" s="11">
        <v>4.9000000000000004</v>
      </c>
      <c r="U31" s="11">
        <v>8.6999999999999993</v>
      </c>
      <c r="V31" s="11">
        <v>15.8</v>
      </c>
      <c r="W31" s="2">
        <v>21.399082568807341</v>
      </c>
      <c r="X31" s="11">
        <v>5</v>
      </c>
      <c r="Y31" s="20">
        <v>56862</v>
      </c>
      <c r="Z31" s="2">
        <v>3.9086719731881021</v>
      </c>
      <c r="AA31" s="2">
        <v>2.0928667563930015</v>
      </c>
      <c r="AB31" s="11">
        <v>49.6</v>
      </c>
      <c r="AC31" s="11">
        <v>87.6</v>
      </c>
      <c r="AD31" s="11">
        <v>41.9</v>
      </c>
      <c r="AE31" s="11">
        <v>4.2</v>
      </c>
      <c r="AF31" s="11">
        <v>70.900000000000006</v>
      </c>
      <c r="AG31" s="2">
        <v>998</v>
      </c>
      <c r="AH31" s="2">
        <v>5756</v>
      </c>
      <c r="AI31" s="2">
        <v>4572</v>
      </c>
      <c r="AJ31" s="2">
        <v>3110</v>
      </c>
      <c r="AK31" s="2">
        <v>9330</v>
      </c>
      <c r="AL31" s="11">
        <v>44.3</v>
      </c>
      <c r="AM31" s="11">
        <v>52.8</v>
      </c>
      <c r="AN31" s="2">
        <v>583.125</v>
      </c>
      <c r="AO31" s="2">
        <v>1166.25</v>
      </c>
      <c r="AP31" s="2">
        <v>1555</v>
      </c>
      <c r="AQ31" s="2">
        <v>4665</v>
      </c>
      <c r="AR31" s="2">
        <v>392</v>
      </c>
      <c r="AS31" s="2">
        <v>15.969989281886388</v>
      </c>
    </row>
    <row r="32" spans="1:45" ht="13.5" x14ac:dyDescent="0.2">
      <c r="A32" s="1" t="s">
        <v>31</v>
      </c>
      <c r="B32" s="2">
        <v>16429</v>
      </c>
      <c r="C32" s="11">
        <v>19.100000000000001</v>
      </c>
      <c r="D32" s="11">
        <v>28.1</v>
      </c>
      <c r="E32" s="11">
        <v>12.9</v>
      </c>
      <c r="F32" s="11">
        <v>25.5</v>
      </c>
      <c r="G32" s="11">
        <v>41.4</v>
      </c>
      <c r="H32" s="22">
        <v>2</v>
      </c>
      <c r="I32" s="11">
        <v>46.4</v>
      </c>
      <c r="J32" s="11">
        <v>21.1</v>
      </c>
      <c r="K32" s="11">
        <v>18.399999999999999</v>
      </c>
      <c r="L32" s="14">
        <v>16.7</v>
      </c>
      <c r="M32" s="20">
        <v>984</v>
      </c>
      <c r="N32" s="2">
        <v>171.13541666666666</v>
      </c>
      <c r="O32" s="2">
        <v>73.017777777777781</v>
      </c>
      <c r="P32" s="15">
        <v>0.38346825734980827</v>
      </c>
      <c r="Q32" s="11">
        <v>57</v>
      </c>
      <c r="R32" s="11">
        <v>4.5999999999999996</v>
      </c>
      <c r="S32" s="11">
        <v>1.3</v>
      </c>
      <c r="T32" s="11">
        <v>4.7</v>
      </c>
      <c r="U32" s="11">
        <v>6.1</v>
      </c>
      <c r="V32" s="11">
        <v>11.9</v>
      </c>
      <c r="W32" s="2">
        <v>36.753914988814316</v>
      </c>
      <c r="X32" s="11">
        <v>4</v>
      </c>
      <c r="Y32" s="20">
        <v>81336</v>
      </c>
      <c r="Z32" s="2">
        <v>4.2496120020693224</v>
      </c>
      <c r="AA32" s="2">
        <v>2.0302768166089966</v>
      </c>
      <c r="AB32" s="11">
        <v>43.7</v>
      </c>
      <c r="AC32" s="11">
        <v>100.9</v>
      </c>
      <c r="AD32" s="11">
        <v>49.7</v>
      </c>
      <c r="AE32" s="11">
        <v>1.4</v>
      </c>
      <c r="AF32" s="2">
        <v>0</v>
      </c>
      <c r="AG32" s="2">
        <v>888</v>
      </c>
      <c r="AH32" s="2">
        <v>6416</v>
      </c>
      <c r="AI32" s="2">
        <v>4541</v>
      </c>
      <c r="AJ32" s="2">
        <v>1825.4444444444443</v>
      </c>
      <c r="AK32" s="2">
        <v>8214.5</v>
      </c>
      <c r="AL32" s="11">
        <v>37.200000000000003</v>
      </c>
      <c r="AM32" s="11">
        <v>59</v>
      </c>
      <c r="AN32" s="2">
        <v>432.34210526315792</v>
      </c>
      <c r="AO32" s="2">
        <v>2053.625</v>
      </c>
      <c r="AP32" s="2">
        <v>1369.0833333333333</v>
      </c>
      <c r="AQ32" s="2">
        <v>4107.25</v>
      </c>
      <c r="AR32" s="2">
        <v>425</v>
      </c>
      <c r="AS32" s="2">
        <v>19.295148822204638</v>
      </c>
    </row>
    <row r="33" spans="1:45" ht="13.5" x14ac:dyDescent="0.2">
      <c r="A33" s="1" t="s">
        <v>32</v>
      </c>
      <c r="B33" s="2">
        <v>57798</v>
      </c>
      <c r="C33" s="11">
        <v>12.3</v>
      </c>
      <c r="D33" s="11">
        <v>13.5</v>
      </c>
      <c r="E33" s="11">
        <v>13</v>
      </c>
      <c r="F33" s="11">
        <v>26.5</v>
      </c>
      <c r="G33" s="11">
        <v>36.200000000000003</v>
      </c>
      <c r="H33" s="22">
        <v>1.5</v>
      </c>
      <c r="I33" s="11">
        <v>68.2</v>
      </c>
      <c r="J33" s="11">
        <v>12.4</v>
      </c>
      <c r="K33" s="11">
        <v>25.4</v>
      </c>
      <c r="L33" s="14">
        <v>3.2</v>
      </c>
      <c r="M33" s="20">
        <v>18062</v>
      </c>
      <c r="N33" s="2">
        <v>109.67362428842505</v>
      </c>
      <c r="O33" s="2">
        <v>182.90506329113924</v>
      </c>
      <c r="P33" s="15">
        <v>-0.35814388041108691</v>
      </c>
      <c r="Q33" s="11">
        <v>65.8</v>
      </c>
      <c r="R33" s="11">
        <v>5.0999999999999996</v>
      </c>
      <c r="S33" s="11">
        <v>1.9</v>
      </c>
      <c r="T33" s="11">
        <v>6.3</v>
      </c>
      <c r="U33" s="11">
        <v>4</v>
      </c>
      <c r="V33" s="11">
        <v>6.6</v>
      </c>
      <c r="W33" s="2">
        <v>35.810408921933089</v>
      </c>
      <c r="X33" s="11">
        <v>9.6999999999999993</v>
      </c>
      <c r="Y33" s="20">
        <v>49746</v>
      </c>
      <c r="Z33" s="2">
        <v>17.15074183976261</v>
      </c>
      <c r="AA33" s="2">
        <v>1.6302710630976223</v>
      </c>
      <c r="AB33" s="11">
        <v>1.1000000000000001</v>
      </c>
      <c r="AC33" s="11">
        <v>63.4</v>
      </c>
      <c r="AD33" s="11">
        <v>38.9</v>
      </c>
      <c r="AE33" s="11">
        <v>1.9</v>
      </c>
      <c r="AF33" s="11">
        <v>22.7</v>
      </c>
      <c r="AG33" s="2">
        <v>1516</v>
      </c>
      <c r="AH33" s="2">
        <v>6880</v>
      </c>
      <c r="AI33" s="2">
        <v>6824</v>
      </c>
      <c r="AJ33" s="2">
        <v>947.50819672131149</v>
      </c>
      <c r="AK33" s="2">
        <v>8256.8571428571431</v>
      </c>
      <c r="AL33" s="11">
        <v>31.7</v>
      </c>
      <c r="AM33" s="11">
        <v>62.7</v>
      </c>
      <c r="AN33" s="2">
        <v>177.29447852760737</v>
      </c>
      <c r="AO33" s="2">
        <v>1993.0344827586207</v>
      </c>
      <c r="AP33" s="2">
        <v>947.50819672131149</v>
      </c>
      <c r="AQ33" s="2">
        <v>4816.5</v>
      </c>
      <c r="AR33" s="2">
        <v>246</v>
      </c>
      <c r="AS33" s="2">
        <v>6.868749783729541</v>
      </c>
    </row>
    <row r="34" spans="1:45" ht="13.5" x14ac:dyDescent="0.2">
      <c r="A34" s="1" t="s">
        <v>33</v>
      </c>
      <c r="B34" s="2">
        <v>17253</v>
      </c>
      <c r="C34" s="11">
        <v>12.8</v>
      </c>
      <c r="D34" s="11">
        <v>16.5</v>
      </c>
      <c r="E34" s="11">
        <v>17.100000000000001</v>
      </c>
      <c r="F34" s="11">
        <v>31.8</v>
      </c>
      <c r="G34" s="11">
        <v>39.5</v>
      </c>
      <c r="H34" s="22">
        <v>1.6</v>
      </c>
      <c r="I34" s="11">
        <v>64.3</v>
      </c>
      <c r="J34" s="11">
        <v>13.1</v>
      </c>
      <c r="K34" s="11">
        <v>21.1</v>
      </c>
      <c r="L34" s="14">
        <v>2.7</v>
      </c>
      <c r="M34" s="20">
        <v>6390</v>
      </c>
      <c r="N34" s="2">
        <v>105.20121951219512</v>
      </c>
      <c r="O34" s="2">
        <v>158.28440366972478</v>
      </c>
      <c r="P34" s="15">
        <v>-0.539036689271431</v>
      </c>
      <c r="Q34" s="11">
        <v>55.7</v>
      </c>
      <c r="R34" s="11">
        <v>3.9</v>
      </c>
      <c r="S34" s="11">
        <v>1.2</v>
      </c>
      <c r="T34" s="11">
        <v>4.8</v>
      </c>
      <c r="U34" s="11">
        <v>2.1</v>
      </c>
      <c r="V34" s="11">
        <v>2.2000000000000002</v>
      </c>
      <c r="W34" s="2">
        <v>63.197802197802197</v>
      </c>
      <c r="X34" s="11">
        <v>5.6</v>
      </c>
      <c r="Y34" s="20">
        <v>97412</v>
      </c>
      <c r="Z34" s="2">
        <v>13.692857142857143</v>
      </c>
      <c r="AA34" s="2">
        <v>1.6789606850914753</v>
      </c>
      <c r="AB34" s="11">
        <v>3.7</v>
      </c>
      <c r="AC34" s="11">
        <v>84.5</v>
      </c>
      <c r="AD34" s="11">
        <v>50.3</v>
      </c>
      <c r="AE34" s="11">
        <v>0.1</v>
      </c>
      <c r="AF34" s="2">
        <v>0</v>
      </c>
      <c r="AG34" s="2">
        <v>4598</v>
      </c>
      <c r="AH34" s="2">
        <v>9877</v>
      </c>
      <c r="AI34" s="2">
        <v>9915</v>
      </c>
      <c r="AJ34" s="2">
        <v>1078.3125</v>
      </c>
      <c r="AK34" s="2">
        <v>17253</v>
      </c>
      <c r="AL34" s="11">
        <v>16.7</v>
      </c>
      <c r="AM34" s="11">
        <v>80.400000000000006</v>
      </c>
      <c r="AN34" s="2">
        <v>115.79194630872483</v>
      </c>
      <c r="AO34" s="2">
        <v>862.65</v>
      </c>
      <c r="AP34" s="2">
        <v>352.10204081632651</v>
      </c>
      <c r="AQ34" s="2">
        <v>3450.6</v>
      </c>
      <c r="AR34" s="2">
        <v>308</v>
      </c>
      <c r="AS34" s="2">
        <v>26.198342317278154</v>
      </c>
    </row>
    <row r="35" spans="1:45" ht="13.5" x14ac:dyDescent="0.2">
      <c r="A35" s="1" t="s">
        <v>34</v>
      </c>
      <c r="B35" s="2">
        <v>17962</v>
      </c>
      <c r="C35" s="11">
        <v>14.7</v>
      </c>
      <c r="D35" s="11">
        <v>21.4</v>
      </c>
      <c r="E35" s="11">
        <v>14.5</v>
      </c>
      <c r="F35" s="11">
        <v>29.6</v>
      </c>
      <c r="G35" s="11">
        <v>38.5</v>
      </c>
      <c r="H35" s="22">
        <v>1.7</v>
      </c>
      <c r="I35" s="11">
        <v>59.8</v>
      </c>
      <c r="J35" s="11">
        <v>14.6</v>
      </c>
      <c r="K35" s="11">
        <v>20.9</v>
      </c>
      <c r="L35" s="14">
        <v>2.1</v>
      </c>
      <c r="M35" s="20">
        <v>8553</v>
      </c>
      <c r="N35" s="2">
        <v>110.87654320987654</v>
      </c>
      <c r="O35" s="2">
        <v>157.56140350877192</v>
      </c>
      <c r="P35" s="15">
        <v>0.2950673644360316</v>
      </c>
      <c r="Q35" s="11">
        <v>54.6</v>
      </c>
      <c r="R35" s="11">
        <v>4.5</v>
      </c>
      <c r="S35" s="11">
        <v>1.2</v>
      </c>
      <c r="T35" s="11">
        <v>4.5999999999999996</v>
      </c>
      <c r="U35" s="11">
        <v>3.6</v>
      </c>
      <c r="V35" s="11">
        <v>6.8</v>
      </c>
      <c r="W35" s="2">
        <v>44.13267813267813</v>
      </c>
      <c r="X35" s="11">
        <v>6.3</v>
      </c>
      <c r="Y35" s="20">
        <v>120835</v>
      </c>
      <c r="Z35" s="2">
        <v>13.072780203784571</v>
      </c>
      <c r="AA35" s="2">
        <v>1.8215191157083459</v>
      </c>
      <c r="AB35" s="11">
        <v>6.3</v>
      </c>
      <c r="AC35" s="11">
        <v>98.9</v>
      </c>
      <c r="AD35" s="11">
        <v>54.3</v>
      </c>
      <c r="AE35" s="11">
        <v>0.2</v>
      </c>
      <c r="AF35" s="2">
        <v>0</v>
      </c>
      <c r="AG35" s="2">
        <v>5537</v>
      </c>
      <c r="AH35" s="2">
        <v>15541</v>
      </c>
      <c r="AI35" s="2">
        <v>11499</v>
      </c>
      <c r="AJ35" s="2">
        <v>1197.4666666666667</v>
      </c>
      <c r="AK35" s="2" t="s">
        <v>137</v>
      </c>
      <c r="AL35" s="11">
        <v>16.600000000000001</v>
      </c>
      <c r="AM35" s="11">
        <v>80.8</v>
      </c>
      <c r="AN35" s="2">
        <v>123.87586206896552</v>
      </c>
      <c r="AO35" s="2">
        <v>997.88888888888891</v>
      </c>
      <c r="AP35" s="2">
        <v>390.47826086956519</v>
      </c>
      <c r="AQ35" s="2">
        <v>5987.333333333333</v>
      </c>
      <c r="AR35" s="2">
        <v>368</v>
      </c>
      <c r="AS35" s="2">
        <v>18.205099654826856</v>
      </c>
    </row>
    <row r="36" spans="1:45" ht="13.5" x14ac:dyDescent="0.2">
      <c r="A36" s="1" t="s">
        <v>35</v>
      </c>
      <c r="B36" s="2">
        <v>13641</v>
      </c>
      <c r="C36" s="11">
        <v>12.4</v>
      </c>
      <c r="D36" s="11">
        <v>14.4</v>
      </c>
      <c r="E36" s="11">
        <v>13.1</v>
      </c>
      <c r="F36" s="11">
        <v>25.8</v>
      </c>
      <c r="G36" s="11">
        <v>36.4</v>
      </c>
      <c r="H36" s="22">
        <v>1.5</v>
      </c>
      <c r="I36" s="11">
        <v>67</v>
      </c>
      <c r="J36" s="11">
        <v>12.5</v>
      </c>
      <c r="K36" s="11">
        <v>22.3</v>
      </c>
      <c r="L36" s="14">
        <v>0.7</v>
      </c>
      <c r="M36" s="20">
        <v>19487</v>
      </c>
      <c r="N36" s="2">
        <v>101.79850746268657</v>
      </c>
      <c r="O36" s="2">
        <v>145.11702127659575</v>
      </c>
      <c r="P36" s="15">
        <v>-0.21992522542335605</v>
      </c>
      <c r="Q36" s="11">
        <v>66.099999999999994</v>
      </c>
      <c r="R36" s="11">
        <v>4.9000000000000004</v>
      </c>
      <c r="S36" s="11">
        <v>1.9</v>
      </c>
      <c r="T36" s="11">
        <v>6.1</v>
      </c>
      <c r="U36" s="11">
        <v>3.8</v>
      </c>
      <c r="V36" s="11">
        <v>6.3</v>
      </c>
      <c r="W36" s="2">
        <v>41.336363636363636</v>
      </c>
      <c r="X36" s="11">
        <v>6.5</v>
      </c>
      <c r="Y36" s="20">
        <v>57571</v>
      </c>
      <c r="Z36" s="2">
        <v>16.696450428396574</v>
      </c>
      <c r="AA36" s="2">
        <v>1.6637394804244421</v>
      </c>
      <c r="AB36" s="11">
        <v>1.3</v>
      </c>
      <c r="AC36" s="11">
        <v>66</v>
      </c>
      <c r="AD36" s="11">
        <v>39.6</v>
      </c>
      <c r="AE36" s="11">
        <v>0.1</v>
      </c>
      <c r="AF36" s="2">
        <v>0</v>
      </c>
      <c r="AG36" s="2">
        <v>1688</v>
      </c>
      <c r="AH36" s="12" t="s">
        <v>134</v>
      </c>
      <c r="AI36" s="2">
        <v>7855</v>
      </c>
      <c r="AJ36" s="2">
        <v>1705.125</v>
      </c>
      <c r="AK36" s="2">
        <v>13641</v>
      </c>
      <c r="AL36" s="11">
        <v>25.2</v>
      </c>
      <c r="AM36" s="11">
        <v>70.099999999999994</v>
      </c>
      <c r="AN36" s="2">
        <v>341.02499999999998</v>
      </c>
      <c r="AO36" s="2">
        <v>1948.7142857142858</v>
      </c>
      <c r="AP36" s="2">
        <v>1515.6666666666667</v>
      </c>
      <c r="AQ36" s="2">
        <v>6820.5</v>
      </c>
      <c r="AR36" s="2">
        <v>250</v>
      </c>
      <c r="AS36" s="2">
        <v>12.462429440656843</v>
      </c>
    </row>
    <row r="37" spans="1:45" ht="13.5" x14ac:dyDescent="0.2">
      <c r="A37" s="1" t="s">
        <v>36</v>
      </c>
      <c r="B37" s="2">
        <v>31666</v>
      </c>
      <c r="C37" s="11">
        <v>17.5</v>
      </c>
      <c r="D37" s="11">
        <v>18.600000000000001</v>
      </c>
      <c r="E37" s="11">
        <v>17.3</v>
      </c>
      <c r="F37" s="11">
        <v>34.700000000000003</v>
      </c>
      <c r="G37" s="11">
        <v>44.7</v>
      </c>
      <c r="H37" s="22">
        <v>1.8</v>
      </c>
      <c r="I37" s="11">
        <v>54.5</v>
      </c>
      <c r="J37" s="11">
        <v>19.7</v>
      </c>
      <c r="K37" s="11">
        <v>20.3</v>
      </c>
      <c r="L37" s="14">
        <v>4.9000000000000004</v>
      </c>
      <c r="M37" s="20">
        <v>6462</v>
      </c>
      <c r="N37" s="2">
        <v>109.19310344827586</v>
      </c>
      <c r="O37" s="2">
        <v>89.960227272727266</v>
      </c>
      <c r="P37" s="15">
        <v>1.0137055516958251</v>
      </c>
      <c r="Q37" s="11">
        <v>63.5</v>
      </c>
      <c r="R37" s="11">
        <v>5</v>
      </c>
      <c r="S37" s="11">
        <v>2.2000000000000002</v>
      </c>
      <c r="T37" s="11">
        <v>5.0999999999999996</v>
      </c>
      <c r="U37" s="11">
        <v>6.6</v>
      </c>
      <c r="V37" s="11">
        <v>10.8</v>
      </c>
      <c r="W37" s="2">
        <v>27.583623693379792</v>
      </c>
      <c r="X37" s="11">
        <v>8.1</v>
      </c>
      <c r="Y37" s="20">
        <v>56651</v>
      </c>
      <c r="Z37" s="2">
        <v>9.297122724603641</v>
      </c>
      <c r="AA37" s="2">
        <v>1.9504773637203572</v>
      </c>
      <c r="AB37" s="11">
        <v>13.6</v>
      </c>
      <c r="AC37" s="11">
        <v>73.8</v>
      </c>
      <c r="AD37" s="11">
        <v>37.799999999999997</v>
      </c>
      <c r="AE37" s="11">
        <v>4.9000000000000004</v>
      </c>
      <c r="AF37" s="11">
        <v>1</v>
      </c>
      <c r="AG37" s="2">
        <v>965</v>
      </c>
      <c r="AH37" s="2">
        <v>5732</v>
      </c>
      <c r="AI37" s="2">
        <v>5932</v>
      </c>
      <c r="AJ37" s="2">
        <v>1172.8148148148148</v>
      </c>
      <c r="AK37" s="2">
        <v>10555.333333333334</v>
      </c>
      <c r="AL37" s="11">
        <v>33.6</v>
      </c>
      <c r="AM37" s="11">
        <v>61.5</v>
      </c>
      <c r="AN37" s="2">
        <v>575.74545454545455</v>
      </c>
      <c r="AO37" s="2">
        <v>1666.6315789473683</v>
      </c>
      <c r="AP37" s="2">
        <v>1759.2222222222222</v>
      </c>
      <c r="AQ37" s="2">
        <v>7916.5</v>
      </c>
      <c r="AR37" s="2">
        <v>303</v>
      </c>
      <c r="AS37" s="2">
        <v>16.484557569633044</v>
      </c>
    </row>
    <row r="38" spans="1:45" ht="13.5" x14ac:dyDescent="0.2">
      <c r="A38" s="1" t="s">
        <v>37</v>
      </c>
      <c r="B38" s="2">
        <v>42496</v>
      </c>
      <c r="C38" s="11">
        <v>16</v>
      </c>
      <c r="D38" s="11">
        <v>24.7</v>
      </c>
      <c r="E38" s="11">
        <v>14.4</v>
      </c>
      <c r="F38" s="11">
        <v>28.3</v>
      </c>
      <c r="G38" s="11">
        <v>41.6</v>
      </c>
      <c r="H38" s="22">
        <v>1.8</v>
      </c>
      <c r="I38" s="11">
        <v>50.3</v>
      </c>
      <c r="J38" s="11">
        <v>18.2</v>
      </c>
      <c r="K38" s="11">
        <v>22</v>
      </c>
      <c r="L38" s="14">
        <v>12.4</v>
      </c>
      <c r="M38" s="20">
        <v>3427</v>
      </c>
      <c r="N38" s="2">
        <v>138.87581699346404</v>
      </c>
      <c r="O38" s="2">
        <v>80.637571157495259</v>
      </c>
      <c r="P38" s="15">
        <v>0.9412650602409639</v>
      </c>
      <c r="Q38" s="11">
        <v>63.9</v>
      </c>
      <c r="R38" s="11">
        <v>3.9</v>
      </c>
      <c r="S38" s="11">
        <v>2.5</v>
      </c>
      <c r="T38" s="11">
        <v>3.6</v>
      </c>
      <c r="U38" s="11">
        <v>4.0999999999999996</v>
      </c>
      <c r="V38" s="11">
        <v>6.9</v>
      </c>
      <c r="W38" s="2">
        <v>39.977422389463783</v>
      </c>
      <c r="X38" s="11">
        <v>3.6</v>
      </c>
      <c r="Y38" s="20">
        <v>54555</v>
      </c>
      <c r="Z38" s="2">
        <v>4.9122644780950182</v>
      </c>
      <c r="AA38" s="2">
        <v>1.9988711194731892</v>
      </c>
      <c r="AB38" s="11">
        <v>34.5</v>
      </c>
      <c r="AC38" s="11">
        <v>86.7</v>
      </c>
      <c r="AD38" s="11">
        <v>43.4</v>
      </c>
      <c r="AE38" s="11">
        <v>1</v>
      </c>
      <c r="AF38" s="11">
        <v>75.2</v>
      </c>
      <c r="AG38" s="2">
        <v>765</v>
      </c>
      <c r="AH38" s="2">
        <v>4951</v>
      </c>
      <c r="AI38" s="2">
        <v>4365</v>
      </c>
      <c r="AJ38" s="2">
        <v>2124.8000000000002</v>
      </c>
      <c r="AK38" s="2">
        <v>8499.2000000000007</v>
      </c>
      <c r="AL38" s="11">
        <v>37.5</v>
      </c>
      <c r="AM38" s="11">
        <v>60.3</v>
      </c>
      <c r="AN38" s="2">
        <v>466.98901098901098</v>
      </c>
      <c r="AO38" s="2">
        <v>1699.84</v>
      </c>
      <c r="AP38" s="2">
        <v>1370.8387096774193</v>
      </c>
      <c r="AQ38" s="2">
        <v>6070.8571428571431</v>
      </c>
      <c r="AR38" s="2">
        <v>398</v>
      </c>
      <c r="AS38" s="2">
        <v>15.366152108433734</v>
      </c>
    </row>
    <row r="39" spans="1:45" ht="13.5" x14ac:dyDescent="0.2">
      <c r="A39" s="1" t="s">
        <v>38</v>
      </c>
      <c r="B39" s="2">
        <v>31323</v>
      </c>
      <c r="C39" s="11">
        <v>19.2</v>
      </c>
      <c r="D39" s="11">
        <v>20</v>
      </c>
      <c r="E39" s="11">
        <v>18.899999999999999</v>
      </c>
      <c r="F39" s="11">
        <v>39.5</v>
      </c>
      <c r="G39" s="11">
        <v>56.4</v>
      </c>
      <c r="H39" s="22">
        <v>2</v>
      </c>
      <c r="I39" s="11">
        <v>44.5</v>
      </c>
      <c r="J39" s="11">
        <v>22.6</v>
      </c>
      <c r="K39" s="11">
        <v>24.5</v>
      </c>
      <c r="L39" s="14">
        <v>9</v>
      </c>
      <c r="M39" s="20">
        <v>3480</v>
      </c>
      <c r="N39" s="2">
        <v>117.75563909774436</v>
      </c>
      <c r="O39" s="2">
        <v>97.276397515527947</v>
      </c>
      <c r="P39" s="15">
        <v>0.71832199980844746</v>
      </c>
      <c r="Q39" s="11">
        <v>62.1</v>
      </c>
      <c r="R39" s="11">
        <v>6.4</v>
      </c>
      <c r="S39" s="11">
        <v>3.8</v>
      </c>
      <c r="T39" s="11">
        <v>6</v>
      </c>
      <c r="U39" s="11">
        <v>10.1</v>
      </c>
      <c r="V39" s="11">
        <v>17.899999999999999</v>
      </c>
      <c r="W39" s="2">
        <v>21.264765784114054</v>
      </c>
      <c r="X39" s="11">
        <v>6.9</v>
      </c>
      <c r="Y39" s="20">
        <v>46372</v>
      </c>
      <c r="Z39" s="2">
        <v>5.279453901904601</v>
      </c>
      <c r="AA39" s="2">
        <v>2.1936410112752993</v>
      </c>
      <c r="AB39" s="11">
        <v>36.799999999999997</v>
      </c>
      <c r="AC39" s="11">
        <v>87.6</v>
      </c>
      <c r="AD39" s="11">
        <v>39.9</v>
      </c>
      <c r="AE39" s="11">
        <v>12</v>
      </c>
      <c r="AF39" s="11">
        <v>37.799999999999997</v>
      </c>
      <c r="AG39" s="2">
        <v>663</v>
      </c>
      <c r="AH39" s="2">
        <v>4467</v>
      </c>
      <c r="AI39" s="2">
        <v>4198</v>
      </c>
      <c r="AJ39" s="2">
        <v>1080.1034482758621</v>
      </c>
      <c r="AK39" s="2">
        <v>7830.75</v>
      </c>
      <c r="AL39" s="11">
        <v>53.4</v>
      </c>
      <c r="AM39" s="11">
        <v>42.3</v>
      </c>
      <c r="AN39" s="2">
        <v>522.04999999999995</v>
      </c>
      <c r="AO39" s="2">
        <v>1648.578947368421</v>
      </c>
      <c r="AP39" s="2">
        <v>1252.92</v>
      </c>
      <c r="AQ39" s="2">
        <v>6264.6</v>
      </c>
      <c r="AR39" s="2">
        <v>394</v>
      </c>
      <c r="AS39" s="2">
        <v>14.813395907160873</v>
      </c>
    </row>
    <row r="40" spans="1:45" ht="13.5" x14ac:dyDescent="0.2">
      <c r="A40" s="1" t="s">
        <v>39</v>
      </c>
      <c r="B40" s="2">
        <v>36705</v>
      </c>
      <c r="C40" s="11">
        <v>18.7</v>
      </c>
      <c r="D40" s="11">
        <v>19.7</v>
      </c>
      <c r="E40" s="11">
        <v>23.1</v>
      </c>
      <c r="F40" s="11">
        <v>46</v>
      </c>
      <c r="G40" s="11">
        <v>64.099999999999994</v>
      </c>
      <c r="H40" s="22">
        <v>1.9</v>
      </c>
      <c r="I40" s="11">
        <v>49.5</v>
      </c>
      <c r="J40" s="11">
        <v>21.2</v>
      </c>
      <c r="K40" s="11">
        <v>26.6</v>
      </c>
      <c r="L40" s="14">
        <v>8.6999999999999993</v>
      </c>
      <c r="M40" s="20">
        <v>4219</v>
      </c>
      <c r="N40" s="2">
        <v>97.360742705570289</v>
      </c>
      <c r="O40" s="2">
        <v>89.089805825242721</v>
      </c>
      <c r="P40" s="15">
        <v>1.1415338509739819</v>
      </c>
      <c r="Q40" s="11">
        <v>62.7</v>
      </c>
      <c r="R40" s="11">
        <v>7.4</v>
      </c>
      <c r="S40" s="11">
        <v>4.5999999999999996</v>
      </c>
      <c r="T40" s="11">
        <v>6.9</v>
      </c>
      <c r="U40" s="11">
        <v>12.6</v>
      </c>
      <c r="V40" s="11">
        <v>23.1</v>
      </c>
      <c r="W40" s="2">
        <v>16.744981751824817</v>
      </c>
      <c r="X40" s="11">
        <v>8.6999999999999993</v>
      </c>
      <c r="Y40" s="20">
        <v>38811</v>
      </c>
      <c r="Z40" s="2">
        <v>6.9464420893262684</v>
      </c>
      <c r="AA40" s="2">
        <v>2.1086344574021947</v>
      </c>
      <c r="AB40" s="11">
        <v>24.8</v>
      </c>
      <c r="AC40" s="11">
        <v>75.2</v>
      </c>
      <c r="AD40" s="11">
        <v>35.700000000000003</v>
      </c>
      <c r="AE40" s="11">
        <v>9.8000000000000007</v>
      </c>
      <c r="AF40" s="11">
        <v>11.6</v>
      </c>
      <c r="AG40" s="2">
        <v>645</v>
      </c>
      <c r="AH40" s="2">
        <v>4239</v>
      </c>
      <c r="AI40" s="2">
        <v>4037</v>
      </c>
      <c r="AJ40" s="2">
        <v>2621.7857142857142</v>
      </c>
      <c r="AK40" s="2">
        <v>7341</v>
      </c>
      <c r="AL40" s="11">
        <v>58.4</v>
      </c>
      <c r="AM40" s="11">
        <v>37.9</v>
      </c>
      <c r="AN40" s="2">
        <v>719.70588235294122</v>
      </c>
      <c r="AO40" s="2">
        <v>2823.4615384615386</v>
      </c>
      <c r="AP40" s="2">
        <v>2159.1176470588234</v>
      </c>
      <c r="AQ40" s="2">
        <v>7341</v>
      </c>
      <c r="AR40" s="2">
        <v>331</v>
      </c>
      <c r="AS40" s="2">
        <v>11.824002179539573</v>
      </c>
    </row>
    <row r="41" spans="1:45" ht="13.5" x14ac:dyDescent="0.2">
      <c r="A41" s="1" t="s">
        <v>40</v>
      </c>
      <c r="B41" s="2">
        <v>28812</v>
      </c>
      <c r="C41" s="11">
        <v>15.5</v>
      </c>
      <c r="D41" s="11">
        <v>17.399999999999999</v>
      </c>
      <c r="E41" s="11">
        <v>23.3</v>
      </c>
      <c r="F41" s="11">
        <v>40.6</v>
      </c>
      <c r="G41" s="11">
        <v>56</v>
      </c>
      <c r="H41" s="22">
        <v>1.7</v>
      </c>
      <c r="I41" s="11">
        <v>57.5</v>
      </c>
      <c r="J41" s="11">
        <v>16.399999999999999</v>
      </c>
      <c r="K41" s="11">
        <v>22.8</v>
      </c>
      <c r="L41" s="14">
        <v>6.1</v>
      </c>
      <c r="M41" s="20">
        <v>4723</v>
      </c>
      <c r="N41" s="2">
        <v>109.55133079847909</v>
      </c>
      <c r="O41" s="2">
        <v>108.31578947368421</v>
      </c>
      <c r="P41" s="15">
        <v>1.6208524226016938</v>
      </c>
      <c r="Q41" s="11">
        <v>64.3</v>
      </c>
      <c r="R41" s="11">
        <v>6.2</v>
      </c>
      <c r="S41" s="11">
        <v>2.7</v>
      </c>
      <c r="T41" s="11">
        <v>6.9</v>
      </c>
      <c r="U41" s="11">
        <v>8.5</v>
      </c>
      <c r="V41" s="11">
        <v>15.8</v>
      </c>
      <c r="W41" s="2">
        <v>21.405646359583951</v>
      </c>
      <c r="X41" s="11">
        <v>8.3000000000000007</v>
      </c>
      <c r="Y41" s="20">
        <v>42582</v>
      </c>
      <c r="Z41" s="2">
        <v>9.8066712049012938</v>
      </c>
      <c r="AA41" s="2">
        <v>1.8838760298156139</v>
      </c>
      <c r="AB41" s="11">
        <v>11.1</v>
      </c>
      <c r="AC41" s="11">
        <v>68.099999999999994</v>
      </c>
      <c r="AD41" s="11">
        <v>36.200000000000003</v>
      </c>
      <c r="AE41" s="11">
        <v>3.4</v>
      </c>
      <c r="AF41" s="2">
        <v>0.4</v>
      </c>
      <c r="AG41" s="2">
        <v>728</v>
      </c>
      <c r="AH41" s="2">
        <v>5809</v>
      </c>
      <c r="AI41" s="2">
        <v>4775</v>
      </c>
      <c r="AJ41" s="2">
        <v>1920.8</v>
      </c>
      <c r="AK41" s="2">
        <v>9604</v>
      </c>
      <c r="AL41" s="11">
        <v>47.9</v>
      </c>
      <c r="AM41" s="11">
        <v>46.2</v>
      </c>
      <c r="AN41" s="2">
        <v>929.41935483870964</v>
      </c>
      <c r="AO41" s="2">
        <v>2881.2</v>
      </c>
      <c r="AP41" s="2">
        <v>4116</v>
      </c>
      <c r="AQ41" s="2">
        <v>9604</v>
      </c>
      <c r="AR41" s="2">
        <v>286</v>
      </c>
      <c r="AS41" s="2">
        <v>11.245314452311536</v>
      </c>
    </row>
    <row r="42" spans="1:45" ht="13.5" x14ac:dyDescent="0.2">
      <c r="A42" s="1" t="s">
        <v>41</v>
      </c>
      <c r="B42" s="2">
        <v>9853</v>
      </c>
      <c r="C42" s="11">
        <v>12.7</v>
      </c>
      <c r="D42" s="11">
        <v>17.5</v>
      </c>
      <c r="E42" s="11">
        <v>11.5</v>
      </c>
      <c r="F42" s="11">
        <v>25.1</v>
      </c>
      <c r="G42" s="11">
        <v>35.6</v>
      </c>
      <c r="H42" s="22">
        <v>1.6</v>
      </c>
      <c r="I42" s="11">
        <v>63.9</v>
      </c>
      <c r="J42" s="11">
        <v>13.4</v>
      </c>
      <c r="K42" s="11">
        <v>22.5</v>
      </c>
      <c r="L42" s="14">
        <v>0.6</v>
      </c>
      <c r="M42" s="20">
        <v>16422</v>
      </c>
      <c r="N42" s="2">
        <v>97.554455445544548</v>
      </c>
      <c r="O42" s="2">
        <v>223.93181818181819</v>
      </c>
      <c r="P42" s="15">
        <v>-0.13193951080889069</v>
      </c>
      <c r="Q42" s="11">
        <v>65.400000000000006</v>
      </c>
      <c r="R42" s="11">
        <v>4.4000000000000004</v>
      </c>
      <c r="S42" s="12" t="s">
        <v>134</v>
      </c>
      <c r="T42" s="11">
        <v>6</v>
      </c>
      <c r="U42" s="11">
        <v>3.1</v>
      </c>
      <c r="V42" s="11">
        <v>4.3</v>
      </c>
      <c r="W42" s="2">
        <v>46.042056074766357</v>
      </c>
      <c r="X42" s="11">
        <v>7.9</v>
      </c>
      <c r="Y42" s="20">
        <v>68872</v>
      </c>
      <c r="Z42" s="2">
        <v>15.347352024922118</v>
      </c>
      <c r="AA42" s="2">
        <v>1.6402530381221907</v>
      </c>
      <c r="AB42" s="11">
        <v>1.5</v>
      </c>
      <c r="AC42" s="11">
        <v>72</v>
      </c>
      <c r="AD42" s="11">
        <v>43.9</v>
      </c>
      <c r="AE42" s="11">
        <v>3.5</v>
      </c>
      <c r="AF42" s="11">
        <v>56.7</v>
      </c>
      <c r="AG42" s="2">
        <v>2008</v>
      </c>
      <c r="AH42" s="12" t="s">
        <v>134</v>
      </c>
      <c r="AI42" s="2">
        <v>7855</v>
      </c>
      <c r="AJ42" s="2">
        <v>1642.1666666666667</v>
      </c>
      <c r="AK42" s="2">
        <v>9853</v>
      </c>
      <c r="AL42" s="11">
        <v>20.8</v>
      </c>
      <c r="AM42" s="11">
        <v>77.5</v>
      </c>
      <c r="AN42" s="2">
        <v>47.83009708737864</v>
      </c>
      <c r="AO42" s="2">
        <v>197.06</v>
      </c>
      <c r="AP42" s="2">
        <v>447.86363636363637</v>
      </c>
      <c r="AQ42" s="2">
        <v>3284.3333333333335</v>
      </c>
      <c r="AR42" s="2">
        <v>300</v>
      </c>
      <c r="AS42" s="2">
        <v>13.396934943671978</v>
      </c>
    </row>
    <row r="43" spans="1:45" ht="13.5" x14ac:dyDescent="0.2">
      <c r="A43" s="1" t="s">
        <v>42</v>
      </c>
      <c r="B43" s="2">
        <v>25234</v>
      </c>
      <c r="C43" s="11">
        <v>13.2</v>
      </c>
      <c r="D43" s="11">
        <v>18.8</v>
      </c>
      <c r="E43" s="11">
        <v>11.5</v>
      </c>
      <c r="F43" s="11">
        <v>24.4</v>
      </c>
      <c r="G43" s="11">
        <v>36.700000000000003</v>
      </c>
      <c r="H43" s="22">
        <v>1.6</v>
      </c>
      <c r="I43" s="11">
        <v>62.4</v>
      </c>
      <c r="J43" s="11">
        <v>13.4</v>
      </c>
      <c r="K43" s="11">
        <v>20.5</v>
      </c>
      <c r="L43" s="14">
        <v>2.7</v>
      </c>
      <c r="M43" s="20">
        <v>9346</v>
      </c>
      <c r="N43" s="2">
        <v>95.946768060836504</v>
      </c>
      <c r="O43" s="2">
        <v>101.34136546184739</v>
      </c>
      <c r="P43" s="15">
        <v>2.3777443132281841E-2</v>
      </c>
      <c r="Q43" s="11">
        <v>64.400000000000006</v>
      </c>
      <c r="R43" s="11">
        <v>4</v>
      </c>
      <c r="S43" s="11">
        <v>1.4</v>
      </c>
      <c r="T43" s="11">
        <v>5.2</v>
      </c>
      <c r="U43" s="11">
        <v>2.8</v>
      </c>
      <c r="V43" s="11">
        <v>4.3</v>
      </c>
      <c r="W43" s="2">
        <v>53.689361702127663</v>
      </c>
      <c r="X43" s="11">
        <v>7.5</v>
      </c>
      <c r="Y43" s="20">
        <v>72527</v>
      </c>
      <c r="Z43" s="2">
        <v>15.029184038117927</v>
      </c>
      <c r="AA43" s="2">
        <v>1.7530915659302486</v>
      </c>
      <c r="AB43" s="11">
        <v>2.9</v>
      </c>
      <c r="AC43" s="11">
        <v>79</v>
      </c>
      <c r="AD43" s="11">
        <v>45.1</v>
      </c>
      <c r="AE43" s="11">
        <v>3.6</v>
      </c>
      <c r="AF43" s="11">
        <v>20.5</v>
      </c>
      <c r="AG43" s="2">
        <v>2593</v>
      </c>
      <c r="AH43" s="2">
        <v>8325</v>
      </c>
      <c r="AI43" s="2">
        <v>7588</v>
      </c>
      <c r="AJ43" s="2">
        <v>1941.0769230769231</v>
      </c>
      <c r="AK43" s="2">
        <v>8411.3333333333339</v>
      </c>
      <c r="AL43" s="11">
        <v>21.4</v>
      </c>
      <c r="AM43" s="11">
        <v>74.099999999999994</v>
      </c>
      <c r="AN43" s="2">
        <v>141.76404494382024</v>
      </c>
      <c r="AO43" s="2">
        <v>1009.36</v>
      </c>
      <c r="AP43" s="2">
        <v>525.70833333333337</v>
      </c>
      <c r="AQ43" s="2">
        <v>2523.4</v>
      </c>
      <c r="AR43" s="2">
        <v>299</v>
      </c>
      <c r="AS43" s="2">
        <v>23.024490766426251</v>
      </c>
    </row>
    <row r="44" spans="1:45" ht="13.5" x14ac:dyDescent="0.2">
      <c r="A44" s="1" t="s">
        <v>43</v>
      </c>
      <c r="B44" s="2">
        <v>10939</v>
      </c>
      <c r="C44" s="11">
        <v>18.899999999999999</v>
      </c>
      <c r="D44" s="11">
        <v>17.100000000000001</v>
      </c>
      <c r="E44" s="11">
        <v>20.2</v>
      </c>
      <c r="F44" s="11">
        <v>35.299999999999997</v>
      </c>
      <c r="G44" s="11">
        <v>48.7</v>
      </c>
      <c r="H44" s="22">
        <v>1.9</v>
      </c>
      <c r="I44" s="11">
        <v>52.6</v>
      </c>
      <c r="J44" s="11">
        <v>20.100000000000001</v>
      </c>
      <c r="K44" s="11">
        <v>24.9</v>
      </c>
      <c r="L44" s="14">
        <v>4</v>
      </c>
      <c r="M44" s="20">
        <v>2735</v>
      </c>
      <c r="N44" s="2">
        <v>117.6236559139785</v>
      </c>
      <c r="O44" s="2">
        <v>113.94791666666667</v>
      </c>
      <c r="P44" s="15">
        <v>2.7424810311728678E-2</v>
      </c>
      <c r="Q44" s="11">
        <v>60.4</v>
      </c>
      <c r="R44" s="11">
        <v>5.8</v>
      </c>
      <c r="S44" s="11">
        <v>2.9</v>
      </c>
      <c r="T44" s="11">
        <v>6.1</v>
      </c>
      <c r="U44" s="11">
        <v>8.3000000000000007</v>
      </c>
      <c r="V44" s="11">
        <v>13.2</v>
      </c>
      <c r="W44" s="2">
        <v>20.717803030303031</v>
      </c>
      <c r="X44" s="11">
        <v>9.9</v>
      </c>
      <c r="Y44" s="20">
        <v>57093</v>
      </c>
      <c r="Z44" s="2">
        <v>6.0071389346512909</v>
      </c>
      <c r="AA44" s="2">
        <v>2.134439024390244</v>
      </c>
      <c r="AB44" s="11">
        <v>29.9</v>
      </c>
      <c r="AC44" s="11">
        <v>79.400000000000006</v>
      </c>
      <c r="AD44" s="11">
        <v>37.200000000000003</v>
      </c>
      <c r="AE44" s="11">
        <v>9.1999999999999993</v>
      </c>
      <c r="AF44" s="2">
        <v>0</v>
      </c>
      <c r="AG44" s="2">
        <v>829</v>
      </c>
      <c r="AH44" s="2">
        <v>5117</v>
      </c>
      <c r="AI44" s="2">
        <v>5715</v>
      </c>
      <c r="AJ44" s="2">
        <v>1215.4444444444443</v>
      </c>
      <c r="AK44" s="2">
        <v>10939</v>
      </c>
      <c r="AL44" s="11">
        <v>43.5</v>
      </c>
      <c r="AM44" s="11">
        <v>52.5</v>
      </c>
      <c r="AN44" s="2">
        <v>841.46153846153845</v>
      </c>
      <c r="AO44" s="2">
        <v>1823.1666666666667</v>
      </c>
      <c r="AP44" s="2">
        <v>1562.7142857142858</v>
      </c>
      <c r="AQ44" s="2">
        <v>5469.5</v>
      </c>
      <c r="AR44" s="2">
        <v>336</v>
      </c>
      <c r="AS44" s="2">
        <v>26.876314105494103</v>
      </c>
    </row>
    <row r="45" spans="1:45" ht="13.5" x14ac:dyDescent="0.2">
      <c r="A45" s="1" t="s">
        <v>44</v>
      </c>
      <c r="B45" s="2">
        <v>15644</v>
      </c>
      <c r="C45" s="11">
        <v>15.7</v>
      </c>
      <c r="D45" s="11">
        <v>19.3</v>
      </c>
      <c r="E45" s="11">
        <v>14.2</v>
      </c>
      <c r="F45" s="11">
        <v>31.3</v>
      </c>
      <c r="G45" s="11">
        <v>46.3</v>
      </c>
      <c r="H45" s="22">
        <v>1.8</v>
      </c>
      <c r="I45" s="11">
        <v>54.5</v>
      </c>
      <c r="J45" s="11">
        <v>17.7</v>
      </c>
      <c r="K45" s="11">
        <v>23.9</v>
      </c>
      <c r="L45" s="14">
        <v>3.2</v>
      </c>
      <c r="M45" s="20">
        <v>4889</v>
      </c>
      <c r="N45" s="2">
        <v>121.27131782945736</v>
      </c>
      <c r="O45" s="2">
        <v>97.16770186335404</v>
      </c>
      <c r="P45" s="15">
        <v>3.5988238302224493</v>
      </c>
      <c r="Q45" s="11">
        <v>60</v>
      </c>
      <c r="R45" s="11">
        <v>4.8</v>
      </c>
      <c r="S45" s="11">
        <v>2.4</v>
      </c>
      <c r="T45" s="11">
        <v>5.2</v>
      </c>
      <c r="U45" s="11">
        <v>5.7</v>
      </c>
      <c r="V45" s="11">
        <v>10.4</v>
      </c>
      <c r="W45" s="2">
        <v>32.523908523908524</v>
      </c>
      <c r="X45" s="11">
        <v>7.5</v>
      </c>
      <c r="Y45" s="20">
        <v>67044</v>
      </c>
      <c r="Z45" s="2">
        <v>7.6274987810823989</v>
      </c>
      <c r="AA45" s="2">
        <v>1.8450288949168534</v>
      </c>
      <c r="AB45" s="11">
        <v>14.9</v>
      </c>
      <c r="AC45" s="11">
        <v>78.8</v>
      </c>
      <c r="AD45" s="11">
        <v>42.7</v>
      </c>
      <c r="AE45" s="11">
        <v>10</v>
      </c>
      <c r="AF45" s="11">
        <v>15.2</v>
      </c>
      <c r="AG45" s="2">
        <v>1117</v>
      </c>
      <c r="AH45" s="2">
        <v>7939</v>
      </c>
      <c r="AI45" s="2">
        <v>5806</v>
      </c>
      <c r="AJ45" s="2">
        <v>1422.1818181818182</v>
      </c>
      <c r="AK45" s="2" t="s">
        <v>137</v>
      </c>
      <c r="AL45" s="11">
        <v>35.200000000000003</v>
      </c>
      <c r="AM45" s="11">
        <v>61.2</v>
      </c>
      <c r="AN45" s="2">
        <v>363.81395348837208</v>
      </c>
      <c r="AO45" s="2">
        <v>1564.4</v>
      </c>
      <c r="AP45" s="2">
        <v>1738.2222222222222</v>
      </c>
      <c r="AQ45" s="2">
        <v>3128.8</v>
      </c>
      <c r="AR45" s="2">
        <v>345</v>
      </c>
      <c r="AS45" s="2">
        <v>21.861416517514701</v>
      </c>
    </row>
    <row r="46" spans="1:45" ht="13.5" x14ac:dyDescent="0.2">
      <c r="A46" s="1" t="s">
        <v>45</v>
      </c>
      <c r="B46" s="2">
        <v>61192</v>
      </c>
      <c r="C46" s="11">
        <v>14</v>
      </c>
      <c r="D46" s="11">
        <v>13.9</v>
      </c>
      <c r="E46" s="11">
        <v>15.8</v>
      </c>
      <c r="F46" s="11">
        <v>30.7</v>
      </c>
      <c r="G46" s="11">
        <v>47.4</v>
      </c>
      <c r="H46" s="22">
        <v>1.6</v>
      </c>
      <c r="I46" s="11">
        <v>64</v>
      </c>
      <c r="J46" s="11">
        <v>13.6</v>
      </c>
      <c r="K46" s="11">
        <v>22.2</v>
      </c>
      <c r="L46" s="14">
        <v>7.6</v>
      </c>
      <c r="M46" s="20">
        <v>8052</v>
      </c>
      <c r="N46" s="2">
        <v>96.822784810126578</v>
      </c>
      <c r="O46" s="2">
        <v>159.35416666666666</v>
      </c>
      <c r="P46" s="15">
        <v>0.90207870309844429</v>
      </c>
      <c r="Q46" s="11">
        <v>65.2</v>
      </c>
      <c r="R46" s="11">
        <v>5</v>
      </c>
      <c r="S46" s="11">
        <v>3.2</v>
      </c>
      <c r="T46" s="11">
        <v>5.5</v>
      </c>
      <c r="U46" s="11">
        <v>6.3</v>
      </c>
      <c r="V46" s="11">
        <v>13.7</v>
      </c>
      <c r="W46" s="2">
        <v>29.042240151874704</v>
      </c>
      <c r="X46" s="11">
        <v>7.1</v>
      </c>
      <c r="Y46" s="20">
        <v>64095</v>
      </c>
      <c r="Z46" s="2">
        <v>15.53885220924327</v>
      </c>
      <c r="AA46" s="2">
        <v>1.7119995523599025</v>
      </c>
      <c r="AB46" s="11">
        <v>2.5</v>
      </c>
      <c r="AC46" s="11">
        <v>70.599999999999994</v>
      </c>
      <c r="AD46" s="11">
        <v>41.2</v>
      </c>
      <c r="AE46" s="11">
        <v>4.8</v>
      </c>
      <c r="AF46" s="11">
        <v>13.3</v>
      </c>
      <c r="AG46" s="2">
        <v>1980</v>
      </c>
      <c r="AH46" s="2">
        <v>9757</v>
      </c>
      <c r="AI46" s="2">
        <v>8749</v>
      </c>
      <c r="AJ46" s="2">
        <v>1390.7272727272727</v>
      </c>
      <c r="AK46" s="2">
        <v>12238.4</v>
      </c>
      <c r="AL46" s="11">
        <v>45.7</v>
      </c>
      <c r="AM46" s="11">
        <v>51.6</v>
      </c>
      <c r="AN46" s="2">
        <v>252.85950413223139</v>
      </c>
      <c r="AO46" s="2">
        <v>1423.0697674418604</v>
      </c>
      <c r="AP46" s="2">
        <v>784.51282051282055</v>
      </c>
      <c r="AQ46" s="2">
        <v>5099.333333333333</v>
      </c>
      <c r="AR46" s="2">
        <v>287</v>
      </c>
      <c r="AS46" s="2">
        <v>18.025232056477972</v>
      </c>
    </row>
    <row r="47" spans="1:45" ht="13.5" x14ac:dyDescent="0.2">
      <c r="A47" s="1" t="s">
        <v>46</v>
      </c>
      <c r="B47" s="2">
        <v>19251</v>
      </c>
      <c r="C47" s="11">
        <v>13.2</v>
      </c>
      <c r="D47" s="11">
        <v>18.2</v>
      </c>
      <c r="E47" s="11">
        <v>13.4</v>
      </c>
      <c r="F47" s="11">
        <v>29.4</v>
      </c>
      <c r="G47" s="11">
        <v>45.9</v>
      </c>
      <c r="H47" s="22">
        <v>1.6</v>
      </c>
      <c r="I47" s="11">
        <v>62.1</v>
      </c>
      <c r="J47" s="11">
        <v>13.5</v>
      </c>
      <c r="K47" s="11">
        <v>20.399999999999999</v>
      </c>
      <c r="L47" s="14">
        <v>2.2000000000000002</v>
      </c>
      <c r="M47" s="20">
        <v>8751</v>
      </c>
      <c r="N47" s="2">
        <v>89.95794392523365</v>
      </c>
      <c r="O47" s="2">
        <v>91.236966824644554</v>
      </c>
      <c r="P47" s="15">
        <v>6.2334424185756583E-2</v>
      </c>
      <c r="Q47" s="11">
        <v>64</v>
      </c>
      <c r="R47" s="11">
        <v>3.9</v>
      </c>
      <c r="S47" s="11">
        <v>1.7</v>
      </c>
      <c r="T47" s="11">
        <v>4.2</v>
      </c>
      <c r="U47" s="11">
        <v>3.4</v>
      </c>
      <c r="V47" s="11">
        <v>7.4</v>
      </c>
      <c r="W47" s="2">
        <v>50.1328125</v>
      </c>
      <c r="X47" s="11">
        <v>6.1</v>
      </c>
      <c r="Y47" s="20">
        <v>85410</v>
      </c>
      <c r="Z47" s="2">
        <v>13.939898624185373</v>
      </c>
      <c r="AA47" s="2">
        <v>1.6980682720296374</v>
      </c>
      <c r="AB47" s="11">
        <v>3.2</v>
      </c>
      <c r="AC47" s="11">
        <v>79.400000000000006</v>
      </c>
      <c r="AD47" s="11">
        <v>46.8</v>
      </c>
      <c r="AE47" s="11">
        <v>3.3</v>
      </c>
      <c r="AF47" s="2">
        <v>0</v>
      </c>
      <c r="AG47" s="2">
        <v>2444</v>
      </c>
      <c r="AH47" s="2">
        <v>12103</v>
      </c>
      <c r="AI47" s="2">
        <v>9041</v>
      </c>
      <c r="AJ47" s="2">
        <v>1750.090909090909</v>
      </c>
      <c r="AK47" s="2">
        <v>19251</v>
      </c>
      <c r="AL47" s="11">
        <v>29</v>
      </c>
      <c r="AM47" s="11">
        <v>69.900000000000006</v>
      </c>
      <c r="AN47" s="2">
        <v>181.61320754716982</v>
      </c>
      <c r="AO47" s="2">
        <v>802.125</v>
      </c>
      <c r="AP47" s="2">
        <v>1069.5</v>
      </c>
      <c r="AQ47" s="2">
        <v>4812.75</v>
      </c>
      <c r="AR47" s="2">
        <v>327</v>
      </c>
      <c r="AS47" s="2">
        <v>21.661212404550412</v>
      </c>
    </row>
    <row r="48" spans="1:45" ht="13.5" x14ac:dyDescent="0.2">
      <c r="A48" s="1" t="s">
        <v>47</v>
      </c>
      <c r="B48" s="2">
        <v>10097</v>
      </c>
      <c r="C48" s="11">
        <v>12.3</v>
      </c>
      <c r="D48" s="11">
        <v>14.3</v>
      </c>
      <c r="E48" s="11">
        <v>22.2</v>
      </c>
      <c r="F48" s="11">
        <v>40.6</v>
      </c>
      <c r="G48" s="11">
        <v>60.8</v>
      </c>
      <c r="H48" s="22">
        <v>1.5</v>
      </c>
      <c r="I48" s="11">
        <v>67.099999999999994</v>
      </c>
      <c r="J48" s="11">
        <v>11.1</v>
      </c>
      <c r="K48" s="11">
        <v>23</v>
      </c>
      <c r="L48" s="14">
        <v>1.2</v>
      </c>
      <c r="M48" s="20">
        <v>8414</v>
      </c>
      <c r="N48" s="2">
        <v>109.75</v>
      </c>
      <c r="O48" s="2">
        <v>155.33846153846153</v>
      </c>
      <c r="P48" s="15">
        <v>-0.26740616024561753</v>
      </c>
      <c r="Q48" s="11">
        <v>64.099999999999994</v>
      </c>
      <c r="R48" s="11">
        <v>6.1</v>
      </c>
      <c r="S48" s="11">
        <v>2.6</v>
      </c>
      <c r="T48" s="11">
        <v>6.5</v>
      </c>
      <c r="U48" s="11">
        <v>7.5</v>
      </c>
      <c r="V48" s="11">
        <v>16</v>
      </c>
      <c r="W48" s="2">
        <v>24.330120481927711</v>
      </c>
      <c r="X48" s="11">
        <v>9.1999999999999993</v>
      </c>
      <c r="Y48" s="20">
        <v>53496</v>
      </c>
      <c r="Z48" s="2">
        <v>13.355820105820106</v>
      </c>
      <c r="AA48" s="2">
        <v>1.7067275185936444</v>
      </c>
      <c r="AB48" s="11">
        <v>3</v>
      </c>
      <c r="AC48" s="11">
        <v>67.400000000000006</v>
      </c>
      <c r="AD48" s="11">
        <v>39.5</v>
      </c>
      <c r="AE48" s="11">
        <v>1.9</v>
      </c>
      <c r="AF48" s="11">
        <v>16.399999999999999</v>
      </c>
      <c r="AG48" s="2">
        <v>1516</v>
      </c>
      <c r="AH48" s="2">
        <v>8847</v>
      </c>
      <c r="AI48" s="2">
        <v>7393</v>
      </c>
      <c r="AJ48" s="2">
        <v>3365.6666666666665</v>
      </c>
      <c r="AK48" s="2" t="s">
        <v>137</v>
      </c>
      <c r="AL48" s="11">
        <v>49.3</v>
      </c>
      <c r="AM48" s="11">
        <v>48.5</v>
      </c>
      <c r="AN48" s="2">
        <v>280.47222222222223</v>
      </c>
      <c r="AO48" s="2">
        <v>1009.7</v>
      </c>
      <c r="AP48" s="2">
        <v>721.21428571428567</v>
      </c>
      <c r="AQ48" s="2">
        <v>10097</v>
      </c>
      <c r="AR48" s="2">
        <v>256</v>
      </c>
      <c r="AS48" s="2">
        <v>17.430920075269881</v>
      </c>
    </row>
    <row r="49" spans="1:45" ht="13.5" x14ac:dyDescent="0.2">
      <c r="A49" s="1" t="s">
        <v>48</v>
      </c>
      <c r="B49" s="2">
        <v>37091</v>
      </c>
      <c r="C49" s="11">
        <v>11</v>
      </c>
      <c r="D49" s="11">
        <v>13.6</v>
      </c>
      <c r="E49" s="11">
        <v>18.399999999999999</v>
      </c>
      <c r="F49" s="11">
        <v>34.299999999999997</v>
      </c>
      <c r="G49" s="11">
        <v>54.3</v>
      </c>
      <c r="H49" s="22">
        <v>1.5</v>
      </c>
      <c r="I49" s="11">
        <v>68.900000000000006</v>
      </c>
      <c r="J49" s="11">
        <v>10.7</v>
      </c>
      <c r="K49" s="11">
        <v>26.8</v>
      </c>
      <c r="L49" s="14">
        <v>3.1</v>
      </c>
      <c r="M49" s="20">
        <v>11965</v>
      </c>
      <c r="N49" s="2">
        <v>113.42813455657492</v>
      </c>
      <c r="O49" s="2">
        <v>125.7322033898305</v>
      </c>
      <c r="P49" s="15">
        <v>0.94362513817368099</v>
      </c>
      <c r="Q49" s="11">
        <v>67.400000000000006</v>
      </c>
      <c r="R49" s="11">
        <v>6.1</v>
      </c>
      <c r="S49" s="11">
        <v>2.5</v>
      </c>
      <c r="T49" s="11">
        <v>7.6</v>
      </c>
      <c r="U49" s="11">
        <v>7.3</v>
      </c>
      <c r="V49" s="11">
        <v>14.6</v>
      </c>
      <c r="W49" s="2">
        <v>21.921394799054372</v>
      </c>
      <c r="X49" s="11">
        <v>11.9</v>
      </c>
      <c r="Y49" s="20">
        <v>44577</v>
      </c>
      <c r="Z49" s="2">
        <v>16.404688191065901</v>
      </c>
      <c r="AA49" s="2">
        <v>1.6058795514568991</v>
      </c>
      <c r="AB49" s="11">
        <v>0.9</v>
      </c>
      <c r="AC49" s="11">
        <v>59.5</v>
      </c>
      <c r="AD49" s="11">
        <v>37</v>
      </c>
      <c r="AE49" s="11">
        <v>5.4</v>
      </c>
      <c r="AF49" s="11">
        <v>23.3</v>
      </c>
      <c r="AG49" s="2">
        <v>1188</v>
      </c>
      <c r="AH49" s="12" t="s">
        <v>134</v>
      </c>
      <c r="AI49" s="2">
        <v>5459</v>
      </c>
      <c r="AJ49" s="2">
        <v>1373.7407407407406</v>
      </c>
      <c r="AK49" s="2">
        <v>12363.666666666666</v>
      </c>
      <c r="AL49" s="11">
        <v>51.6</v>
      </c>
      <c r="AM49" s="11">
        <v>45.9</v>
      </c>
      <c r="AN49" s="2">
        <v>570.63076923076926</v>
      </c>
      <c r="AO49" s="2">
        <v>1766.2380952380952</v>
      </c>
      <c r="AP49" s="2">
        <v>1279</v>
      </c>
      <c r="AQ49" s="2">
        <v>6181.833333333333</v>
      </c>
      <c r="AR49" s="2">
        <v>263</v>
      </c>
      <c r="AS49" s="2">
        <v>15.825941603084306</v>
      </c>
    </row>
    <row r="50" spans="1:45" ht="13.5" x14ac:dyDescent="0.2">
      <c r="A50" s="1" t="s">
        <v>49</v>
      </c>
      <c r="B50" s="2">
        <v>17230</v>
      </c>
      <c r="C50" s="11">
        <v>10.8</v>
      </c>
      <c r="D50" s="11">
        <v>13.5</v>
      </c>
      <c r="E50" s="11">
        <v>26.4</v>
      </c>
      <c r="F50" s="11">
        <v>48.7</v>
      </c>
      <c r="G50" s="11">
        <v>75.7</v>
      </c>
      <c r="H50" s="22">
        <v>1.4</v>
      </c>
      <c r="I50" s="11">
        <v>73.599999999999994</v>
      </c>
      <c r="J50" s="11">
        <v>9.6999999999999993</v>
      </c>
      <c r="K50" s="11">
        <v>41.1</v>
      </c>
      <c r="L50" s="14">
        <v>1.2</v>
      </c>
      <c r="M50" s="20">
        <v>14358</v>
      </c>
      <c r="N50" s="2">
        <v>126.69117647058823</v>
      </c>
      <c r="O50" s="2">
        <v>98.457142857142856</v>
      </c>
      <c r="P50" s="15">
        <v>0.23215322112594311</v>
      </c>
      <c r="Q50" s="11">
        <v>64.5</v>
      </c>
      <c r="R50" s="11">
        <v>10.6</v>
      </c>
      <c r="S50" s="11">
        <v>5.7</v>
      </c>
      <c r="T50" s="11">
        <v>14.6</v>
      </c>
      <c r="U50" s="11">
        <v>15.1</v>
      </c>
      <c r="V50" s="11">
        <v>30.3</v>
      </c>
      <c r="W50" s="2">
        <v>10.557598039215685</v>
      </c>
      <c r="X50" s="11">
        <v>20.7</v>
      </c>
      <c r="Y50" s="20">
        <v>28173</v>
      </c>
      <c r="Z50" s="2">
        <v>15.924214417744917</v>
      </c>
      <c r="AA50" s="2">
        <v>1.5949273349995372</v>
      </c>
      <c r="AB50" s="11">
        <v>0.3</v>
      </c>
      <c r="AC50" s="11">
        <v>53.1</v>
      </c>
      <c r="AD50" s="11">
        <v>33.299999999999997</v>
      </c>
      <c r="AE50" s="11">
        <v>7.3</v>
      </c>
      <c r="AF50" s="11">
        <v>46.5</v>
      </c>
      <c r="AG50" s="2">
        <v>936</v>
      </c>
      <c r="AH50" s="12" t="s">
        <v>134</v>
      </c>
      <c r="AI50" s="2">
        <v>4521</v>
      </c>
      <c r="AJ50" s="2">
        <v>2461.4285714285716</v>
      </c>
      <c r="AK50" s="2">
        <v>17230</v>
      </c>
      <c r="AL50" s="11">
        <v>75.7</v>
      </c>
      <c r="AM50" s="11">
        <v>21.8</v>
      </c>
      <c r="AN50" s="2">
        <v>689.2</v>
      </c>
      <c r="AO50" s="2">
        <v>2871.6666666666665</v>
      </c>
      <c r="AP50" s="2">
        <v>2871.6666666666665</v>
      </c>
      <c r="AQ50" s="2">
        <v>5743.333333333333</v>
      </c>
      <c r="AR50" s="2">
        <v>218</v>
      </c>
      <c r="AS50" s="2">
        <v>3.0760301799187464</v>
      </c>
    </row>
    <row r="51" spans="1:45" ht="13.5" x14ac:dyDescent="0.2">
      <c r="A51" s="1" t="s">
        <v>50</v>
      </c>
      <c r="B51" s="2">
        <v>44062</v>
      </c>
      <c r="C51" s="11">
        <v>11.2</v>
      </c>
      <c r="D51" s="11">
        <v>13.1</v>
      </c>
      <c r="E51" s="11">
        <v>17</v>
      </c>
      <c r="F51" s="11">
        <v>34.5</v>
      </c>
      <c r="G51" s="11">
        <v>55.4</v>
      </c>
      <c r="H51" s="22">
        <v>1.5</v>
      </c>
      <c r="I51" s="11">
        <v>70.2</v>
      </c>
      <c r="J51" s="11">
        <v>11</v>
      </c>
      <c r="K51" s="11">
        <v>29.1</v>
      </c>
      <c r="L51" s="14">
        <v>3.9</v>
      </c>
      <c r="M51" s="20">
        <v>11298</v>
      </c>
      <c r="N51" s="2">
        <v>106.68765133171912</v>
      </c>
      <c r="O51" s="2">
        <v>124.11830985915493</v>
      </c>
      <c r="P51" s="15">
        <v>0.62185102809677273</v>
      </c>
      <c r="Q51" s="11">
        <v>68.900000000000006</v>
      </c>
      <c r="R51" s="11">
        <v>6.8</v>
      </c>
      <c r="S51" s="11">
        <v>3.3</v>
      </c>
      <c r="T51" s="11">
        <v>8.9</v>
      </c>
      <c r="U51" s="11">
        <v>8</v>
      </c>
      <c r="V51" s="11">
        <v>14.4</v>
      </c>
      <c r="W51" s="2">
        <v>18.49013848090642</v>
      </c>
      <c r="X51" s="11">
        <v>12.2</v>
      </c>
      <c r="Y51" s="20">
        <v>37753</v>
      </c>
      <c r="Z51" s="2">
        <v>15.58613371064733</v>
      </c>
      <c r="AA51" s="2">
        <v>1.5557517124496858</v>
      </c>
      <c r="AB51" s="11">
        <v>1.3</v>
      </c>
      <c r="AC51" s="11">
        <v>57.4</v>
      </c>
      <c r="AD51" s="11">
        <v>36.9</v>
      </c>
      <c r="AE51" s="11">
        <v>5.0999999999999996</v>
      </c>
      <c r="AF51" s="11">
        <v>24.8</v>
      </c>
      <c r="AG51" s="2">
        <v>860</v>
      </c>
      <c r="AH51" s="12" t="s">
        <v>134</v>
      </c>
      <c r="AI51" s="2">
        <v>5998</v>
      </c>
      <c r="AJ51" s="2">
        <v>2937.4666666666667</v>
      </c>
      <c r="AK51" s="2">
        <v>22031</v>
      </c>
      <c r="AL51" s="11">
        <v>55.9</v>
      </c>
      <c r="AM51" s="11">
        <v>40.200000000000003</v>
      </c>
      <c r="AN51" s="2">
        <v>431.98039215686276</v>
      </c>
      <c r="AO51" s="2">
        <v>1631.9259259259259</v>
      </c>
      <c r="AP51" s="2">
        <v>1159.5263157894738</v>
      </c>
      <c r="AQ51" s="2">
        <v>4406.2</v>
      </c>
      <c r="AR51" s="2">
        <v>251</v>
      </c>
      <c r="AS51" s="2">
        <v>8.9646407335118692</v>
      </c>
    </row>
    <row r="52" spans="1:45" ht="13.5" x14ac:dyDescent="0.2">
      <c r="A52" s="1" t="s">
        <v>51</v>
      </c>
      <c r="B52" s="2">
        <v>17813</v>
      </c>
      <c r="C52" s="11">
        <v>17</v>
      </c>
      <c r="D52" s="11">
        <v>16.2</v>
      </c>
      <c r="E52" s="11">
        <v>16.5</v>
      </c>
      <c r="F52" s="11">
        <v>31</v>
      </c>
      <c r="G52" s="11">
        <v>43</v>
      </c>
      <c r="H52" s="22">
        <v>1.8</v>
      </c>
      <c r="I52" s="11">
        <v>55.6</v>
      </c>
      <c r="J52" s="11">
        <v>18.8</v>
      </c>
      <c r="K52" s="11">
        <v>21.8</v>
      </c>
      <c r="L52" s="14">
        <v>7.2</v>
      </c>
      <c r="M52" s="20">
        <v>2474</v>
      </c>
      <c r="N52" s="2">
        <v>113.45859872611464</v>
      </c>
      <c r="O52" s="2">
        <v>122.00684931506849</v>
      </c>
      <c r="P52" s="15">
        <v>0.75225958569584017</v>
      </c>
      <c r="Q52" s="11">
        <v>59.9</v>
      </c>
      <c r="R52" s="11">
        <v>5.7</v>
      </c>
      <c r="S52" s="11">
        <v>2.7</v>
      </c>
      <c r="T52" s="11">
        <v>5.9</v>
      </c>
      <c r="U52" s="11">
        <v>7.3</v>
      </c>
      <c r="V52" s="11">
        <v>13.2</v>
      </c>
      <c r="W52" s="2">
        <v>24.468406593406595</v>
      </c>
      <c r="X52" s="11">
        <v>6.5</v>
      </c>
      <c r="Y52" s="20">
        <v>55699</v>
      </c>
      <c r="Z52" s="2">
        <v>7.1337605126151384</v>
      </c>
      <c r="AA52" s="2">
        <v>1.9427418475297198</v>
      </c>
      <c r="AB52" s="11">
        <v>19.2</v>
      </c>
      <c r="AC52" s="11">
        <v>74.2</v>
      </c>
      <c r="AD52" s="11">
        <v>38.200000000000003</v>
      </c>
      <c r="AE52" s="11">
        <v>10.199999999999999</v>
      </c>
      <c r="AF52" s="11">
        <v>14.6</v>
      </c>
      <c r="AG52" s="2">
        <v>930</v>
      </c>
      <c r="AH52" s="2">
        <v>6197</v>
      </c>
      <c r="AI52" s="2">
        <v>4611</v>
      </c>
      <c r="AJ52" s="2">
        <v>1484.4166666666667</v>
      </c>
      <c r="AK52" s="2">
        <v>8906.5</v>
      </c>
      <c r="AL52" s="11">
        <v>49.6</v>
      </c>
      <c r="AM52" s="11">
        <v>47.9</v>
      </c>
      <c r="AN52" s="2">
        <v>1047.8235294117646</v>
      </c>
      <c r="AO52" s="2">
        <v>2544.7142857142858</v>
      </c>
      <c r="AP52" s="2">
        <v>3562.6</v>
      </c>
      <c r="AQ52" s="2">
        <v>4453.25</v>
      </c>
      <c r="AR52" s="2">
        <v>315</v>
      </c>
      <c r="AS52" s="2">
        <v>20.266097793746141</v>
      </c>
    </row>
    <row r="53" spans="1:45" ht="13.5" x14ac:dyDescent="0.2">
      <c r="A53" s="1" t="s">
        <v>52</v>
      </c>
      <c r="B53" s="2">
        <v>13984</v>
      </c>
      <c r="C53" s="11">
        <v>16.899999999999999</v>
      </c>
      <c r="D53" s="11">
        <v>17.8</v>
      </c>
      <c r="E53" s="11">
        <v>22.5</v>
      </c>
      <c r="F53" s="11">
        <v>35.200000000000003</v>
      </c>
      <c r="G53" s="11">
        <v>54.3</v>
      </c>
      <c r="H53" s="22">
        <v>1.7</v>
      </c>
      <c r="I53" s="11">
        <v>56.4</v>
      </c>
      <c r="J53" s="11">
        <v>16</v>
      </c>
      <c r="K53" s="11">
        <v>22.5</v>
      </c>
      <c r="L53" s="14">
        <v>7.8</v>
      </c>
      <c r="M53" s="20">
        <v>1793</v>
      </c>
      <c r="N53" s="2">
        <v>138.45544554455446</v>
      </c>
      <c r="O53" s="2">
        <v>114.62295081967213</v>
      </c>
      <c r="P53" s="15">
        <v>1.444508009153318</v>
      </c>
      <c r="Q53" s="11">
        <v>62.2</v>
      </c>
      <c r="R53" s="11">
        <v>6.7</v>
      </c>
      <c r="S53" s="11">
        <v>4</v>
      </c>
      <c r="T53" s="11">
        <v>5.8</v>
      </c>
      <c r="U53" s="11">
        <v>10.5</v>
      </c>
      <c r="V53" s="11">
        <v>21.9</v>
      </c>
      <c r="W53" s="2">
        <v>19.863636363636363</v>
      </c>
      <c r="X53" s="11">
        <v>7.8</v>
      </c>
      <c r="Y53" s="20">
        <v>49157</v>
      </c>
      <c r="Z53" s="2">
        <v>6.516309412861137</v>
      </c>
      <c r="AA53" s="2">
        <v>1.9709654686398872</v>
      </c>
      <c r="AB53" s="11">
        <v>20.8</v>
      </c>
      <c r="AC53" s="11">
        <v>76.7</v>
      </c>
      <c r="AD53" s="11">
        <v>38.9</v>
      </c>
      <c r="AE53" s="11">
        <v>2.6</v>
      </c>
      <c r="AF53" s="11">
        <v>31.1</v>
      </c>
      <c r="AG53" s="2">
        <v>817</v>
      </c>
      <c r="AH53" s="2">
        <v>5463</v>
      </c>
      <c r="AI53" s="2">
        <v>4515</v>
      </c>
      <c r="AJ53" s="2">
        <v>1553.7777777777778</v>
      </c>
      <c r="AK53" s="2">
        <v>4661.333333333333</v>
      </c>
      <c r="AL53" s="11">
        <v>46</v>
      </c>
      <c r="AM53" s="11">
        <v>51</v>
      </c>
      <c r="AN53" s="2">
        <v>499.42857142857144</v>
      </c>
      <c r="AO53" s="2">
        <v>3496</v>
      </c>
      <c r="AP53" s="2">
        <v>874</v>
      </c>
      <c r="AQ53" s="2">
        <v>3496</v>
      </c>
      <c r="AR53" s="2">
        <v>340</v>
      </c>
      <c r="AS53" s="2">
        <v>15.660755148741419</v>
      </c>
    </row>
    <row r="54" spans="1:45" ht="13.5" x14ac:dyDescent="0.2">
      <c r="A54" s="1" t="s">
        <v>53</v>
      </c>
      <c r="B54" s="2">
        <v>48901</v>
      </c>
      <c r="C54" s="11">
        <v>18.5</v>
      </c>
      <c r="D54" s="11">
        <v>18.5</v>
      </c>
      <c r="E54" s="11">
        <v>20.2</v>
      </c>
      <c r="F54" s="11">
        <v>39.1</v>
      </c>
      <c r="G54" s="11">
        <v>53.5</v>
      </c>
      <c r="H54" s="22">
        <v>1.9</v>
      </c>
      <c r="I54" s="11">
        <v>49.2</v>
      </c>
      <c r="J54" s="11">
        <v>20.7</v>
      </c>
      <c r="K54" s="11">
        <v>24.9</v>
      </c>
      <c r="L54" s="14">
        <v>13.4</v>
      </c>
      <c r="M54" s="20">
        <v>3649</v>
      </c>
      <c r="N54" s="2">
        <v>111.90160183066362</v>
      </c>
      <c r="O54" s="2">
        <v>96.072691552062864</v>
      </c>
      <c r="P54" s="15">
        <v>1.3394409112288093</v>
      </c>
      <c r="Q54" s="11">
        <v>62.2</v>
      </c>
      <c r="R54" s="11">
        <v>6.6</v>
      </c>
      <c r="S54" s="11">
        <v>3.8</v>
      </c>
      <c r="T54" s="11">
        <v>6.2</v>
      </c>
      <c r="U54" s="11">
        <v>10.1</v>
      </c>
      <c r="V54" s="11">
        <v>18.2</v>
      </c>
      <c r="W54" s="2">
        <v>19.607457898957499</v>
      </c>
      <c r="X54" s="11">
        <v>8.6</v>
      </c>
      <c r="Y54" s="20">
        <v>41309</v>
      </c>
      <c r="Z54" s="2">
        <v>5.0917326114119117</v>
      </c>
      <c r="AA54" s="2">
        <v>2.1339238959678828</v>
      </c>
      <c r="AB54" s="11">
        <v>36.4</v>
      </c>
      <c r="AC54" s="11">
        <v>77.3</v>
      </c>
      <c r="AD54" s="11">
        <v>36.200000000000003</v>
      </c>
      <c r="AE54" s="11">
        <v>12.1</v>
      </c>
      <c r="AF54" s="11">
        <v>30.9</v>
      </c>
      <c r="AG54" s="2">
        <v>546</v>
      </c>
      <c r="AH54" s="2">
        <v>4107</v>
      </c>
      <c r="AI54" s="2">
        <v>4313</v>
      </c>
      <c r="AJ54" s="2">
        <v>1686.2413793103449</v>
      </c>
      <c r="AK54" s="2">
        <v>9780.2000000000007</v>
      </c>
      <c r="AL54" s="11">
        <v>53.4</v>
      </c>
      <c r="AM54" s="11">
        <v>43.7</v>
      </c>
      <c r="AN54" s="2">
        <v>520.22340425531911</v>
      </c>
      <c r="AO54" s="2">
        <v>2716.7222222222222</v>
      </c>
      <c r="AP54" s="2">
        <v>1811.148148148148</v>
      </c>
      <c r="AQ54" s="2">
        <v>6112.625</v>
      </c>
      <c r="AR54" s="2">
        <v>356</v>
      </c>
      <c r="AS54" s="2">
        <v>13.169464837119895</v>
      </c>
    </row>
    <row r="55" spans="1:45" ht="13.5" x14ac:dyDescent="0.2">
      <c r="A55" s="1" t="s">
        <v>54</v>
      </c>
      <c r="B55" s="2">
        <v>22694</v>
      </c>
      <c r="C55" s="11">
        <v>12.2</v>
      </c>
      <c r="D55" s="11">
        <v>14.3</v>
      </c>
      <c r="E55" s="11">
        <v>19.3</v>
      </c>
      <c r="F55" s="11">
        <v>38</v>
      </c>
      <c r="G55" s="11">
        <v>58.3</v>
      </c>
      <c r="H55" s="22">
        <v>1.5</v>
      </c>
      <c r="I55" s="11">
        <v>66</v>
      </c>
      <c r="J55" s="11">
        <v>12.1</v>
      </c>
      <c r="K55" s="11">
        <v>27.5</v>
      </c>
      <c r="L55" s="14">
        <v>1.8</v>
      </c>
      <c r="M55" s="20">
        <v>12608</v>
      </c>
      <c r="N55" s="2">
        <v>118.19791666666667</v>
      </c>
      <c r="O55" s="2">
        <v>132.71345029239765</v>
      </c>
      <c r="P55" s="15">
        <v>7.9316118797920152E-2</v>
      </c>
      <c r="Q55" s="11">
        <v>69.099999999999994</v>
      </c>
      <c r="R55" s="11">
        <v>5.6</v>
      </c>
      <c r="S55" s="11">
        <v>2.7</v>
      </c>
      <c r="T55" s="11">
        <v>6.4</v>
      </c>
      <c r="U55" s="11">
        <v>7</v>
      </c>
      <c r="V55" s="11">
        <v>14.4</v>
      </c>
      <c r="W55" s="2">
        <v>24.297644539614559</v>
      </c>
      <c r="X55" s="11">
        <v>9.8000000000000007</v>
      </c>
      <c r="Y55" s="20">
        <v>42457</v>
      </c>
      <c r="Z55" s="2">
        <v>13.931246163290362</v>
      </c>
      <c r="AA55" s="2">
        <v>1.6574642126789365</v>
      </c>
      <c r="AB55" s="11">
        <v>1.6</v>
      </c>
      <c r="AC55" s="11">
        <v>63.3</v>
      </c>
      <c r="AD55" s="11">
        <v>38.200000000000003</v>
      </c>
      <c r="AE55" s="11">
        <v>2.6</v>
      </c>
      <c r="AF55" s="11">
        <v>56.2</v>
      </c>
      <c r="AG55" s="2">
        <v>1172</v>
      </c>
      <c r="AH55" s="12" t="s">
        <v>134</v>
      </c>
      <c r="AI55" s="2">
        <v>5065</v>
      </c>
      <c r="AJ55" s="2">
        <v>1621</v>
      </c>
      <c r="AK55" s="2">
        <v>7564.666666666667</v>
      </c>
      <c r="AL55" s="11">
        <v>45.8</v>
      </c>
      <c r="AM55" s="11">
        <v>51.6</v>
      </c>
      <c r="AN55" s="2">
        <v>613.35135135135135</v>
      </c>
      <c r="AO55" s="2">
        <v>1891.1666666666667</v>
      </c>
      <c r="AP55" s="2">
        <v>872.84615384615381</v>
      </c>
      <c r="AQ55" s="2">
        <v>7564.666666666667</v>
      </c>
      <c r="AR55" s="2">
        <v>261</v>
      </c>
      <c r="AS55" s="2">
        <v>9.6060632766369967</v>
      </c>
    </row>
    <row r="56" spans="1:45" ht="13.5" x14ac:dyDescent="0.2">
      <c r="A56" s="1" t="s">
        <v>55</v>
      </c>
      <c r="B56" s="2">
        <v>38397</v>
      </c>
      <c r="C56" s="11">
        <v>14.3</v>
      </c>
      <c r="D56" s="11">
        <v>17.100000000000001</v>
      </c>
      <c r="E56" s="11">
        <v>22.4</v>
      </c>
      <c r="F56" s="11">
        <v>43.1</v>
      </c>
      <c r="G56" s="11">
        <v>66.2</v>
      </c>
      <c r="H56" s="22">
        <v>1.6</v>
      </c>
      <c r="I56" s="11">
        <v>62</v>
      </c>
      <c r="J56" s="11">
        <v>13.6</v>
      </c>
      <c r="K56" s="11">
        <v>27.1</v>
      </c>
      <c r="L56" s="14">
        <v>5.9</v>
      </c>
      <c r="M56" s="20">
        <v>6508</v>
      </c>
      <c r="N56" s="2">
        <v>106.36288088642659</v>
      </c>
      <c r="O56" s="2">
        <v>104.62397820163488</v>
      </c>
      <c r="P56" s="15">
        <v>0.37763366929708048</v>
      </c>
      <c r="Q56" s="11">
        <v>66.900000000000006</v>
      </c>
      <c r="R56" s="11">
        <v>6.5</v>
      </c>
      <c r="S56" s="11">
        <v>2.7</v>
      </c>
      <c r="T56" s="11">
        <v>7.4</v>
      </c>
      <c r="U56" s="11">
        <v>10.3</v>
      </c>
      <c r="V56" s="11">
        <v>21.9</v>
      </c>
      <c r="W56" s="2">
        <v>18.232193732193732</v>
      </c>
      <c r="X56" s="11">
        <v>10.7</v>
      </c>
      <c r="Y56" s="20">
        <v>37415</v>
      </c>
      <c r="Z56" s="2">
        <v>9.5348894959026573</v>
      </c>
      <c r="AA56" s="2">
        <v>1.741992559658833</v>
      </c>
      <c r="AB56" s="11">
        <v>10</v>
      </c>
      <c r="AC56" s="11">
        <v>63.5</v>
      </c>
      <c r="AD56" s="11">
        <v>36.5</v>
      </c>
      <c r="AE56" s="11">
        <v>6.1</v>
      </c>
      <c r="AF56" s="11">
        <v>38.5</v>
      </c>
      <c r="AG56" s="2">
        <v>693</v>
      </c>
      <c r="AH56" s="2">
        <v>4985</v>
      </c>
      <c r="AI56" s="2">
        <v>4715</v>
      </c>
      <c r="AJ56" s="2">
        <v>1919.85</v>
      </c>
      <c r="AK56" s="2">
        <v>9599.25</v>
      </c>
      <c r="AL56" s="11">
        <v>58.4</v>
      </c>
      <c r="AM56" s="11">
        <v>38.4</v>
      </c>
      <c r="AN56" s="2">
        <v>573.08955223880594</v>
      </c>
      <c r="AO56" s="2">
        <v>1599.875</v>
      </c>
      <c r="AP56" s="2">
        <v>914.21428571428567</v>
      </c>
      <c r="AQ56" s="2">
        <v>3839.7</v>
      </c>
      <c r="AR56" s="2">
        <v>302</v>
      </c>
      <c r="AS56" s="2">
        <v>17.970153918274864</v>
      </c>
    </row>
    <row r="57" spans="1:45" ht="13.5" x14ac:dyDescent="0.2">
      <c r="A57" s="1" t="s">
        <v>56</v>
      </c>
      <c r="B57" s="2">
        <v>13779</v>
      </c>
      <c r="C57" s="11">
        <v>15.8</v>
      </c>
      <c r="D57" s="11">
        <v>19.899999999999999</v>
      </c>
      <c r="E57" s="11">
        <v>17.7</v>
      </c>
      <c r="F57" s="11">
        <v>36.1</v>
      </c>
      <c r="G57" s="11">
        <v>48.7</v>
      </c>
      <c r="H57" s="22">
        <v>1.8</v>
      </c>
      <c r="I57" s="11">
        <v>52.9</v>
      </c>
      <c r="J57" s="11">
        <v>17.899999999999999</v>
      </c>
      <c r="K57" s="11">
        <v>20.7</v>
      </c>
      <c r="L57" s="14">
        <v>3.2</v>
      </c>
      <c r="M57" s="20">
        <v>4306</v>
      </c>
      <c r="N57" s="2">
        <v>142.05154639175257</v>
      </c>
      <c r="O57" s="2">
        <v>69.944162436548226</v>
      </c>
      <c r="P57" s="15">
        <v>0.12337615211553814</v>
      </c>
      <c r="Q57" s="11">
        <v>61.1</v>
      </c>
      <c r="R57" s="11">
        <v>4.7</v>
      </c>
      <c r="S57" s="11">
        <v>2.5</v>
      </c>
      <c r="T57" s="11">
        <v>4.5999999999999996</v>
      </c>
      <c r="U57" s="11">
        <v>5.3</v>
      </c>
      <c r="V57" s="11">
        <v>9.6</v>
      </c>
      <c r="W57" s="2">
        <v>31.822170900692839</v>
      </c>
      <c r="X57" s="11">
        <v>7.5</v>
      </c>
      <c r="Y57" s="20">
        <v>71113</v>
      </c>
      <c r="Z57" s="2">
        <v>6.1761541909457645</v>
      </c>
      <c r="AA57" s="2">
        <v>1.9164116828929068</v>
      </c>
      <c r="AB57" s="11">
        <v>22.6</v>
      </c>
      <c r="AC57" s="11">
        <v>89.1</v>
      </c>
      <c r="AD57" s="11">
        <v>46.5</v>
      </c>
      <c r="AE57" s="11">
        <v>1.3</v>
      </c>
      <c r="AF57" s="2">
        <v>0</v>
      </c>
      <c r="AG57" s="2">
        <v>985</v>
      </c>
      <c r="AH57" s="2">
        <v>5450</v>
      </c>
      <c r="AI57" s="2">
        <v>4728</v>
      </c>
      <c r="AJ57" s="2">
        <v>1531</v>
      </c>
      <c r="AK57" s="2">
        <v>13779</v>
      </c>
      <c r="AL57" s="11">
        <v>34.700000000000003</v>
      </c>
      <c r="AM57" s="11">
        <v>63.8</v>
      </c>
      <c r="AN57" s="2">
        <v>132.49038461538461</v>
      </c>
      <c r="AO57" s="2">
        <v>861.1875</v>
      </c>
      <c r="AP57" s="2">
        <v>765.5</v>
      </c>
      <c r="AQ57" s="2">
        <v>6889.5</v>
      </c>
      <c r="AR57" s="2">
        <v>384</v>
      </c>
      <c r="AS57" s="2">
        <v>18.433848610203935</v>
      </c>
    </row>
    <row r="58" spans="1:45" ht="13.5" x14ac:dyDescent="0.2">
      <c r="A58" s="1" t="s">
        <v>57</v>
      </c>
      <c r="B58" s="2">
        <v>29391</v>
      </c>
      <c r="C58" s="11">
        <v>20.3</v>
      </c>
      <c r="D58" s="11">
        <v>17.399999999999999</v>
      </c>
      <c r="E58" s="11">
        <v>31.4</v>
      </c>
      <c r="F58" s="11">
        <v>64.5</v>
      </c>
      <c r="G58" s="11">
        <v>82.5</v>
      </c>
      <c r="H58" s="22">
        <v>2</v>
      </c>
      <c r="I58" s="11">
        <v>48.3</v>
      </c>
      <c r="J58" s="11">
        <v>22.1</v>
      </c>
      <c r="K58" s="11">
        <v>30.4</v>
      </c>
      <c r="L58" s="14">
        <v>5</v>
      </c>
      <c r="M58" s="20">
        <v>5878</v>
      </c>
      <c r="N58" s="2">
        <v>101.69896193771626</v>
      </c>
      <c r="O58" s="2">
        <v>96.049019607843135</v>
      </c>
      <c r="P58" s="15">
        <v>6.804804191759382E-3</v>
      </c>
      <c r="Q58" s="11">
        <v>55.2</v>
      </c>
      <c r="R58" s="11">
        <v>10.199999999999999</v>
      </c>
      <c r="S58" s="11">
        <v>4.5999999999999996</v>
      </c>
      <c r="T58" s="11">
        <v>10.8</v>
      </c>
      <c r="U58" s="11">
        <v>18.899999999999999</v>
      </c>
      <c r="V58" s="11">
        <v>32.200000000000003</v>
      </c>
      <c r="W58" s="2">
        <v>11.836890857833266</v>
      </c>
      <c r="X58" s="11">
        <v>22.1</v>
      </c>
      <c r="Y58" s="20">
        <v>30908</v>
      </c>
      <c r="Z58" s="2">
        <v>9.7417964865760691</v>
      </c>
      <c r="AA58" s="2">
        <v>2.3413526647016649</v>
      </c>
      <c r="AB58" s="11">
        <v>18</v>
      </c>
      <c r="AC58" s="11">
        <v>73.3</v>
      </c>
      <c r="AD58" s="11">
        <v>31.3</v>
      </c>
      <c r="AE58" s="11">
        <v>12.3</v>
      </c>
      <c r="AF58" s="11">
        <v>38.799999999999997</v>
      </c>
      <c r="AG58" s="2">
        <v>602</v>
      </c>
      <c r="AH58" s="2">
        <v>4298</v>
      </c>
      <c r="AI58" s="2">
        <v>3938</v>
      </c>
      <c r="AJ58" s="2">
        <v>1632.8333333333333</v>
      </c>
      <c r="AK58" s="2">
        <v>7347.75</v>
      </c>
      <c r="AL58" s="11">
        <v>69.8</v>
      </c>
      <c r="AM58" s="11">
        <v>26.9</v>
      </c>
      <c r="AN58" s="2">
        <v>864.44117647058829</v>
      </c>
      <c r="AO58" s="2">
        <v>2099.3571428571427</v>
      </c>
      <c r="AP58" s="2">
        <v>1959.4</v>
      </c>
      <c r="AQ58" s="2">
        <v>9797</v>
      </c>
      <c r="AR58" s="2">
        <v>287</v>
      </c>
      <c r="AS58" s="2">
        <v>5.988227688748256</v>
      </c>
    </row>
    <row r="59" spans="1:45" ht="13.5" x14ac:dyDescent="0.2">
      <c r="A59" s="1" t="s">
        <v>58</v>
      </c>
      <c r="B59" s="2">
        <v>15580</v>
      </c>
      <c r="C59" s="11">
        <v>17.3</v>
      </c>
      <c r="D59" s="11">
        <v>17</v>
      </c>
      <c r="E59" s="11">
        <v>23.3</v>
      </c>
      <c r="F59" s="11">
        <v>48</v>
      </c>
      <c r="G59" s="11">
        <v>65.5</v>
      </c>
      <c r="H59" s="22">
        <v>1.8</v>
      </c>
      <c r="I59" s="11">
        <v>54.8</v>
      </c>
      <c r="J59" s="11">
        <v>18.5</v>
      </c>
      <c r="K59" s="11">
        <v>27.3</v>
      </c>
      <c r="L59" s="14">
        <v>3.9</v>
      </c>
      <c r="M59" s="20">
        <v>3995</v>
      </c>
      <c r="N59" s="2">
        <v>116.26865671641791</v>
      </c>
      <c r="O59" s="2">
        <v>127.70491803278688</v>
      </c>
      <c r="P59" s="15">
        <v>-1.2836970474967908E-2</v>
      </c>
      <c r="Q59" s="11">
        <v>61.4</v>
      </c>
      <c r="R59" s="11">
        <v>6.9</v>
      </c>
      <c r="S59" s="11">
        <v>3.6</v>
      </c>
      <c r="T59" s="11">
        <v>7.1</v>
      </c>
      <c r="U59" s="11">
        <v>11.1</v>
      </c>
      <c r="V59" s="11">
        <v>21.2</v>
      </c>
      <c r="W59" s="2">
        <v>18.095238095238095</v>
      </c>
      <c r="X59" s="11">
        <v>11.1</v>
      </c>
      <c r="Y59" s="20">
        <v>39143</v>
      </c>
      <c r="Z59" s="2">
        <v>6.4997914059240713</v>
      </c>
      <c r="AA59" s="2">
        <v>1.955075919186849</v>
      </c>
      <c r="AB59" s="11">
        <v>22.3</v>
      </c>
      <c r="AC59" s="11">
        <v>74.099999999999994</v>
      </c>
      <c r="AD59" s="11">
        <v>37.9</v>
      </c>
      <c r="AE59" s="11">
        <v>10.1</v>
      </c>
      <c r="AF59" s="11">
        <v>61.9</v>
      </c>
      <c r="AG59" s="2">
        <v>656</v>
      </c>
      <c r="AH59" s="2">
        <v>4023</v>
      </c>
      <c r="AI59" s="2">
        <v>3982</v>
      </c>
      <c r="AJ59" s="2">
        <v>2596.6666666666665</v>
      </c>
      <c r="AK59" s="2">
        <v>15580</v>
      </c>
      <c r="AL59" s="11">
        <v>57.1</v>
      </c>
      <c r="AM59" s="11">
        <v>38.1</v>
      </c>
      <c r="AN59" s="2">
        <v>865.55555555555554</v>
      </c>
      <c r="AO59" s="2">
        <v>2225.7142857142858</v>
      </c>
      <c r="AP59" s="2">
        <v>1198.4615384615386</v>
      </c>
      <c r="AQ59" s="2">
        <v>7790</v>
      </c>
      <c r="AR59" s="2">
        <v>362</v>
      </c>
      <c r="AS59" s="2">
        <v>21.309370988446727</v>
      </c>
    </row>
    <row r="60" spans="1:45" ht="13.5" x14ac:dyDescent="0.2">
      <c r="A60" s="1" t="s">
        <v>59</v>
      </c>
      <c r="B60" s="2">
        <v>39266</v>
      </c>
      <c r="C60" s="11">
        <v>19.5</v>
      </c>
      <c r="D60" s="11">
        <v>18.8</v>
      </c>
      <c r="E60" s="11">
        <v>18.3</v>
      </c>
      <c r="F60" s="11">
        <v>40.700000000000003</v>
      </c>
      <c r="G60" s="11">
        <v>58.7</v>
      </c>
      <c r="H60" s="22">
        <v>1.9</v>
      </c>
      <c r="I60" s="11">
        <v>47.8</v>
      </c>
      <c r="J60" s="11">
        <v>21.8</v>
      </c>
      <c r="K60" s="11">
        <v>27.7</v>
      </c>
      <c r="L60" s="14">
        <v>8.1999999999999993</v>
      </c>
      <c r="M60" s="20">
        <v>4789</v>
      </c>
      <c r="N60" s="2">
        <v>109.07222222222222</v>
      </c>
      <c r="O60" s="2">
        <v>103.06036745406824</v>
      </c>
      <c r="P60" s="15">
        <v>1.749605256455967</v>
      </c>
      <c r="Q60" s="11">
        <v>62.7</v>
      </c>
      <c r="R60" s="11">
        <v>6.8</v>
      </c>
      <c r="S60" s="11">
        <v>3.4</v>
      </c>
      <c r="T60" s="11">
        <v>5.8</v>
      </c>
      <c r="U60" s="11">
        <v>11.3</v>
      </c>
      <c r="V60" s="11">
        <v>21</v>
      </c>
      <c r="W60" s="2">
        <v>18.978250362493959</v>
      </c>
      <c r="X60" s="11">
        <v>8.8000000000000007</v>
      </c>
      <c r="Y60" s="20">
        <v>40210</v>
      </c>
      <c r="Z60" s="2">
        <v>5.9611355700622441</v>
      </c>
      <c r="AA60" s="2">
        <v>2.1252435592119507</v>
      </c>
      <c r="AB60" s="11">
        <v>30.9</v>
      </c>
      <c r="AC60" s="11">
        <v>74.7</v>
      </c>
      <c r="AD60" s="11">
        <v>35.1</v>
      </c>
      <c r="AE60" s="11">
        <v>11.5</v>
      </c>
      <c r="AF60" s="11">
        <v>25.6</v>
      </c>
      <c r="AG60" s="2">
        <v>664</v>
      </c>
      <c r="AH60" s="2">
        <v>4429</v>
      </c>
      <c r="AI60" s="2">
        <v>3695</v>
      </c>
      <c r="AJ60" s="2">
        <v>1707.2173913043478</v>
      </c>
      <c r="AK60" s="2">
        <v>9816.5</v>
      </c>
      <c r="AL60" s="11">
        <v>59.3</v>
      </c>
      <c r="AM60" s="11">
        <v>36.799999999999997</v>
      </c>
      <c r="AN60" s="2">
        <v>892.40909090909088</v>
      </c>
      <c r="AO60" s="2">
        <v>2617.7333333333331</v>
      </c>
      <c r="AP60" s="2">
        <v>2066.6315789473683</v>
      </c>
      <c r="AQ60" s="2">
        <v>7853.2</v>
      </c>
      <c r="AR60" s="2">
        <v>351</v>
      </c>
      <c r="AS60" s="2">
        <v>8.1495441348749562</v>
      </c>
    </row>
    <row r="61" spans="1:45" ht="13.5" x14ac:dyDescent="0.2">
      <c r="A61" s="1" t="s">
        <v>60</v>
      </c>
      <c r="B61" s="2">
        <v>53543</v>
      </c>
      <c r="C61" s="11">
        <v>15.4</v>
      </c>
      <c r="D61" s="11">
        <v>21.2</v>
      </c>
      <c r="E61" s="11">
        <v>17.5</v>
      </c>
      <c r="F61" s="11">
        <v>37.299999999999997</v>
      </c>
      <c r="G61" s="11">
        <v>55.4</v>
      </c>
      <c r="H61" s="22">
        <v>1.8</v>
      </c>
      <c r="I61" s="11">
        <v>54.9</v>
      </c>
      <c r="J61" s="11">
        <v>16.7</v>
      </c>
      <c r="K61" s="11">
        <v>29.2</v>
      </c>
      <c r="L61" s="14">
        <v>10.1</v>
      </c>
      <c r="M61" s="20">
        <v>5301</v>
      </c>
      <c r="N61" s="2">
        <v>123.37096774193549</v>
      </c>
      <c r="O61" s="2">
        <v>80.034379671150973</v>
      </c>
      <c r="P61" s="15">
        <v>1.0795061912855088</v>
      </c>
      <c r="Q61" s="11">
        <v>64.900000000000006</v>
      </c>
      <c r="R61" s="11">
        <v>6.9</v>
      </c>
      <c r="S61" s="11">
        <v>3.7</v>
      </c>
      <c r="T61" s="11">
        <v>6.4</v>
      </c>
      <c r="U61" s="11">
        <v>9.6999999999999993</v>
      </c>
      <c r="V61" s="11">
        <v>18.100000000000001</v>
      </c>
      <c r="W61" s="2">
        <v>18.125592417061611</v>
      </c>
      <c r="X61" s="11">
        <v>8.3000000000000007</v>
      </c>
      <c r="Y61" s="20">
        <v>39916</v>
      </c>
      <c r="Z61" s="2">
        <v>5.8198913043478262</v>
      </c>
      <c r="AA61" s="2">
        <v>1.864700146270112</v>
      </c>
      <c r="AB61" s="11">
        <v>25.7</v>
      </c>
      <c r="AC61" s="11">
        <v>72.900000000000006</v>
      </c>
      <c r="AD61" s="11">
        <v>39.1</v>
      </c>
      <c r="AE61" s="11">
        <v>5.4</v>
      </c>
      <c r="AF61" s="11">
        <v>45.5</v>
      </c>
      <c r="AG61" s="2">
        <v>684</v>
      </c>
      <c r="AH61" s="2">
        <v>4363</v>
      </c>
      <c r="AI61" s="2">
        <v>4083</v>
      </c>
      <c r="AJ61" s="2">
        <v>1673.21875</v>
      </c>
      <c r="AK61" s="2">
        <v>8923.8333333333339</v>
      </c>
      <c r="AL61" s="11">
        <v>55.2</v>
      </c>
      <c r="AM61" s="11">
        <v>41.1</v>
      </c>
      <c r="AN61" s="2">
        <v>713.90666666666664</v>
      </c>
      <c r="AO61" s="2">
        <v>1487.3055555555557</v>
      </c>
      <c r="AP61" s="2">
        <v>1245.1860465116279</v>
      </c>
      <c r="AQ61" s="2">
        <v>5354.3</v>
      </c>
      <c r="AR61" s="2">
        <v>380</v>
      </c>
      <c r="AS61" s="2">
        <v>15.296117139495358</v>
      </c>
    </row>
    <row r="62" spans="1:45" ht="13.5" x14ac:dyDescent="0.2">
      <c r="A62" s="1" t="s">
        <v>61</v>
      </c>
      <c r="B62" s="2">
        <v>19902</v>
      </c>
      <c r="C62" s="11">
        <v>20.399999999999999</v>
      </c>
      <c r="D62" s="11">
        <v>19.399999999999999</v>
      </c>
      <c r="E62" s="11">
        <v>28.9</v>
      </c>
      <c r="F62" s="11">
        <v>59.8</v>
      </c>
      <c r="G62" s="11">
        <v>79.5</v>
      </c>
      <c r="H62" s="22">
        <v>2</v>
      </c>
      <c r="I62" s="11">
        <v>49</v>
      </c>
      <c r="J62" s="11">
        <v>21.6</v>
      </c>
      <c r="K62" s="11">
        <v>32.9</v>
      </c>
      <c r="L62" s="14">
        <v>2.5</v>
      </c>
      <c r="M62" s="20">
        <v>7961</v>
      </c>
      <c r="N62" s="2">
        <v>96.14492753623189</v>
      </c>
      <c r="O62" s="2">
        <v>100.01005025125629</v>
      </c>
      <c r="P62" s="15">
        <v>0.2512310320570797</v>
      </c>
      <c r="Q62" s="11">
        <v>56.1</v>
      </c>
      <c r="R62" s="11">
        <v>11.3</v>
      </c>
      <c r="S62" s="11">
        <v>5.5</v>
      </c>
      <c r="T62" s="11">
        <v>10.5</v>
      </c>
      <c r="U62" s="11">
        <v>20.5</v>
      </c>
      <c r="V62" s="11">
        <v>34.9</v>
      </c>
      <c r="W62" s="2">
        <v>11.056666666666667</v>
      </c>
      <c r="X62" s="11">
        <v>15.7</v>
      </c>
      <c r="Y62" s="20">
        <v>27967</v>
      </c>
      <c r="Z62" s="2">
        <v>20.349693251533743</v>
      </c>
      <c r="AA62" s="2">
        <v>2.1588024731532705</v>
      </c>
      <c r="AB62" s="11">
        <v>3.7</v>
      </c>
      <c r="AC62" s="11">
        <v>72.7</v>
      </c>
      <c r="AD62" s="11">
        <v>33.700000000000003</v>
      </c>
      <c r="AE62" s="11">
        <v>21.7</v>
      </c>
      <c r="AF62" s="11">
        <v>28.6</v>
      </c>
      <c r="AG62" s="2">
        <v>624</v>
      </c>
      <c r="AH62" s="12" t="s">
        <v>134</v>
      </c>
      <c r="AI62" s="2">
        <v>3398</v>
      </c>
      <c r="AJ62" s="2">
        <v>1809.2727272727273</v>
      </c>
      <c r="AK62" s="2">
        <v>6634</v>
      </c>
      <c r="AL62" s="11">
        <v>72.099999999999994</v>
      </c>
      <c r="AM62" s="11">
        <v>24.1</v>
      </c>
      <c r="AN62" s="2">
        <v>3317</v>
      </c>
      <c r="AO62" s="2">
        <v>3980.4</v>
      </c>
      <c r="AP62" s="2">
        <v>3317</v>
      </c>
      <c r="AQ62" s="2">
        <v>19902</v>
      </c>
      <c r="AR62" s="2">
        <v>280</v>
      </c>
      <c r="AS62" s="2">
        <v>4.0196965129132751</v>
      </c>
    </row>
    <row r="63" spans="1:45" ht="13.5" x14ac:dyDescent="0.2">
      <c r="A63" s="1" t="s">
        <v>62</v>
      </c>
      <c r="B63" s="2">
        <v>11168</v>
      </c>
      <c r="C63" s="11">
        <v>18.5</v>
      </c>
      <c r="D63" s="11">
        <v>26.4</v>
      </c>
      <c r="E63" s="11">
        <v>9.1999999999999993</v>
      </c>
      <c r="F63" s="11">
        <v>22.6</v>
      </c>
      <c r="G63" s="11">
        <v>33.4</v>
      </c>
      <c r="H63" s="22">
        <v>2.1</v>
      </c>
      <c r="I63" s="11">
        <v>41.5</v>
      </c>
      <c r="J63" s="11">
        <v>22.4</v>
      </c>
      <c r="K63" s="11">
        <v>13.5</v>
      </c>
      <c r="L63" s="14">
        <v>4.0999999999999996</v>
      </c>
      <c r="M63" s="20">
        <v>2724</v>
      </c>
      <c r="N63" s="2">
        <v>132.95238095238096</v>
      </c>
      <c r="O63" s="2">
        <v>70.23899371069183</v>
      </c>
      <c r="P63" s="15">
        <v>1.2535816618911175</v>
      </c>
      <c r="Q63" s="11">
        <v>57.6</v>
      </c>
      <c r="R63" s="11">
        <v>2.9</v>
      </c>
      <c r="S63" s="11">
        <v>1</v>
      </c>
      <c r="T63" s="11">
        <v>2.7</v>
      </c>
      <c r="U63" s="11">
        <v>2.2999999999999998</v>
      </c>
      <c r="V63" s="11">
        <v>3.6</v>
      </c>
      <c r="W63" s="2">
        <v>79.771428571428572</v>
      </c>
      <c r="X63" s="11">
        <v>2.2000000000000002</v>
      </c>
      <c r="Y63" s="20">
        <v>127297</v>
      </c>
      <c r="Z63" s="2">
        <v>3.8590186592950935</v>
      </c>
      <c r="AA63" s="2">
        <v>2.143158702744195</v>
      </c>
      <c r="AB63" s="11">
        <v>50.4</v>
      </c>
      <c r="AC63" s="11">
        <v>123.1</v>
      </c>
      <c r="AD63" s="11">
        <v>57.4</v>
      </c>
      <c r="AE63" s="2">
        <v>0</v>
      </c>
      <c r="AF63" s="2">
        <v>0</v>
      </c>
      <c r="AG63" s="2">
        <v>1155</v>
      </c>
      <c r="AH63" s="2">
        <v>7102</v>
      </c>
      <c r="AI63" s="2">
        <v>5430</v>
      </c>
      <c r="AJ63" s="2">
        <v>1396</v>
      </c>
      <c r="AK63" s="2">
        <v>11168</v>
      </c>
      <c r="AL63" s="11">
        <v>25.6</v>
      </c>
      <c r="AM63" s="11">
        <v>72.3</v>
      </c>
      <c r="AN63" s="2">
        <v>413.62962962962962</v>
      </c>
      <c r="AO63" s="2">
        <v>1595.4285714285713</v>
      </c>
      <c r="AP63" s="2">
        <v>1015.2727272727273</v>
      </c>
      <c r="AQ63" s="2">
        <v>5584</v>
      </c>
      <c r="AR63" s="2">
        <v>499</v>
      </c>
      <c r="AS63" s="2">
        <v>23.191260744985673</v>
      </c>
    </row>
    <row r="64" spans="1:45" ht="13.5" x14ac:dyDescent="0.2">
      <c r="A64" s="1" t="s">
        <v>63</v>
      </c>
      <c r="B64" s="2">
        <v>24287</v>
      </c>
      <c r="C64" s="11">
        <v>19.100000000000001</v>
      </c>
      <c r="D64" s="11">
        <v>26.4</v>
      </c>
      <c r="E64" s="11">
        <v>7.8</v>
      </c>
      <c r="F64" s="11">
        <v>21.6</v>
      </c>
      <c r="G64" s="11">
        <v>32.700000000000003</v>
      </c>
      <c r="H64" s="22">
        <v>2.1</v>
      </c>
      <c r="I64" s="11">
        <v>37.9</v>
      </c>
      <c r="J64" s="11">
        <v>23.9</v>
      </c>
      <c r="K64" s="11">
        <v>15.3</v>
      </c>
      <c r="L64" s="14">
        <v>8.4</v>
      </c>
      <c r="M64" s="20">
        <v>2891</v>
      </c>
      <c r="N64" s="2">
        <v>207.58119658119659</v>
      </c>
      <c r="O64" s="2">
        <v>104.23605150214593</v>
      </c>
      <c r="P64" s="15">
        <v>0.42409519496026682</v>
      </c>
      <c r="Q64" s="11">
        <v>60.5</v>
      </c>
      <c r="R64" s="11">
        <v>2.8</v>
      </c>
      <c r="S64" s="11">
        <v>0.9</v>
      </c>
      <c r="T64" s="11">
        <v>2.9</v>
      </c>
      <c r="U64" s="11">
        <v>2.1</v>
      </c>
      <c r="V64" s="11">
        <v>3.2</v>
      </c>
      <c r="W64" s="2">
        <v>82.60884353741497</v>
      </c>
      <c r="X64" s="11">
        <v>1.8</v>
      </c>
      <c r="Y64" s="20">
        <v>78338</v>
      </c>
      <c r="Z64" s="2">
        <v>3.2151178183743712</v>
      </c>
      <c r="AA64" s="2">
        <v>2.1776203712005739</v>
      </c>
      <c r="AB64" s="11">
        <v>66.2</v>
      </c>
      <c r="AC64" s="11">
        <v>114.4</v>
      </c>
      <c r="AD64" s="11">
        <v>52.5</v>
      </c>
      <c r="AE64" s="11">
        <v>1.3</v>
      </c>
      <c r="AF64" s="2">
        <v>0</v>
      </c>
      <c r="AG64" s="2">
        <v>805</v>
      </c>
      <c r="AH64" s="2">
        <v>5379</v>
      </c>
      <c r="AI64" s="2">
        <v>4655</v>
      </c>
      <c r="AJ64" s="2">
        <v>1734.7857142857142</v>
      </c>
      <c r="AK64" s="2">
        <v>8095.666666666667</v>
      </c>
      <c r="AL64" s="11">
        <v>28.4</v>
      </c>
      <c r="AM64" s="11">
        <v>68.5</v>
      </c>
      <c r="AN64" s="2">
        <v>592.36585365853659</v>
      </c>
      <c r="AO64" s="2">
        <v>3469.5714285714284</v>
      </c>
      <c r="AP64" s="2">
        <v>1868.2307692307693</v>
      </c>
      <c r="AQ64" s="2">
        <v>12143.5</v>
      </c>
      <c r="AR64" s="2">
        <v>512</v>
      </c>
      <c r="AS64" s="2">
        <v>25.857454605344422</v>
      </c>
    </row>
    <row r="65" spans="1:45" ht="13.5" x14ac:dyDescent="0.2">
      <c r="A65" s="1" t="s">
        <v>64</v>
      </c>
      <c r="B65" s="2">
        <v>24598</v>
      </c>
      <c r="C65" s="11">
        <v>17.3</v>
      </c>
      <c r="D65" s="11">
        <v>31.4</v>
      </c>
      <c r="E65" s="11">
        <v>11.6</v>
      </c>
      <c r="F65" s="11">
        <v>28.1</v>
      </c>
      <c r="G65" s="11">
        <v>46</v>
      </c>
      <c r="H65" s="22">
        <v>2</v>
      </c>
      <c r="I65" s="11">
        <v>42.9</v>
      </c>
      <c r="J65" s="11">
        <v>20.6</v>
      </c>
      <c r="K65" s="11">
        <v>17.8</v>
      </c>
      <c r="L65" s="14">
        <v>8.1</v>
      </c>
      <c r="M65" s="20">
        <v>3037</v>
      </c>
      <c r="N65" s="2">
        <v>170.81944444444446</v>
      </c>
      <c r="O65" s="2">
        <v>45.636363636363633</v>
      </c>
      <c r="P65" s="15">
        <v>2.7481909098300674</v>
      </c>
      <c r="Q65" s="11">
        <v>61.3</v>
      </c>
      <c r="R65" s="11">
        <v>3.9</v>
      </c>
      <c r="S65" s="11">
        <v>2</v>
      </c>
      <c r="T65" s="11">
        <v>3.2</v>
      </c>
      <c r="U65" s="11">
        <v>4.4000000000000004</v>
      </c>
      <c r="V65" s="11">
        <v>9.1</v>
      </c>
      <c r="W65" s="2">
        <v>50.717525773195874</v>
      </c>
      <c r="X65" s="11">
        <v>2.4</v>
      </c>
      <c r="Y65" s="20">
        <v>64299</v>
      </c>
      <c r="Z65" s="2">
        <v>3.9156319643425661</v>
      </c>
      <c r="AA65" s="2">
        <v>2.1025728694760235</v>
      </c>
      <c r="AB65" s="11">
        <v>51.2</v>
      </c>
      <c r="AC65" s="11">
        <v>100.6</v>
      </c>
      <c r="AD65" s="11">
        <v>47.8</v>
      </c>
      <c r="AE65" s="11">
        <v>3.9</v>
      </c>
      <c r="AF65" s="11">
        <v>22.5</v>
      </c>
      <c r="AG65" s="2">
        <v>774</v>
      </c>
      <c r="AH65" s="2">
        <v>4708</v>
      </c>
      <c r="AI65" s="2">
        <v>5454</v>
      </c>
      <c r="AJ65" s="2">
        <v>2049.8333333333335</v>
      </c>
      <c r="AK65" s="2">
        <v>8199.3333333333339</v>
      </c>
      <c r="AL65" s="11">
        <v>32.4</v>
      </c>
      <c r="AM65" s="11">
        <v>65.099999999999994</v>
      </c>
      <c r="AN65" s="2">
        <v>170.81944444444446</v>
      </c>
      <c r="AO65" s="2">
        <v>819.93333333333328</v>
      </c>
      <c r="AP65" s="2">
        <v>599.95121951219517</v>
      </c>
      <c r="AQ65" s="2">
        <v>3514</v>
      </c>
      <c r="AR65" s="2">
        <v>444</v>
      </c>
      <c r="AS65" s="2">
        <v>25.611838360842345</v>
      </c>
    </row>
    <row r="66" spans="1:45" ht="13.5" x14ac:dyDescent="0.2">
      <c r="A66" s="1" t="s">
        <v>65</v>
      </c>
      <c r="B66" s="2">
        <v>18731</v>
      </c>
      <c r="C66" s="11">
        <v>18.3</v>
      </c>
      <c r="D66" s="11">
        <v>24.3</v>
      </c>
      <c r="E66" s="11">
        <v>19.3</v>
      </c>
      <c r="F66" s="11">
        <v>41.9</v>
      </c>
      <c r="G66" s="11">
        <v>59.6</v>
      </c>
      <c r="H66" s="22">
        <v>2</v>
      </c>
      <c r="I66" s="11">
        <v>43.6</v>
      </c>
      <c r="J66" s="11">
        <v>21.2</v>
      </c>
      <c r="K66" s="11">
        <v>24.8</v>
      </c>
      <c r="L66" s="14">
        <v>9.1</v>
      </c>
      <c r="M66" s="20">
        <v>2058</v>
      </c>
      <c r="N66" s="2">
        <v>121.62987012987013</v>
      </c>
      <c r="O66" s="2">
        <v>92.727722772277232</v>
      </c>
      <c r="P66" s="15">
        <v>0.61395547488121294</v>
      </c>
      <c r="Q66" s="11">
        <v>61.3</v>
      </c>
      <c r="R66" s="11">
        <v>6.6</v>
      </c>
      <c r="S66" s="11">
        <v>2.9</v>
      </c>
      <c r="T66" s="11">
        <v>6.2</v>
      </c>
      <c r="U66" s="11">
        <v>10</v>
      </c>
      <c r="V66" s="11">
        <v>18.600000000000001</v>
      </c>
      <c r="W66" s="2">
        <v>21.431350114416475</v>
      </c>
      <c r="X66" s="11">
        <v>7.8</v>
      </c>
      <c r="Y66" s="20">
        <v>49492</v>
      </c>
      <c r="Z66" s="2">
        <v>6.4925476603119581</v>
      </c>
      <c r="AA66" s="2">
        <v>2.1534835594389516</v>
      </c>
      <c r="AB66" s="11">
        <v>26.2</v>
      </c>
      <c r="AC66" s="11">
        <v>88.7</v>
      </c>
      <c r="AD66" s="11">
        <v>41.2</v>
      </c>
      <c r="AE66" s="11">
        <v>18.399999999999999</v>
      </c>
      <c r="AF66" s="11">
        <v>21.2</v>
      </c>
      <c r="AG66" s="2">
        <v>764</v>
      </c>
      <c r="AH66" s="2">
        <v>4855</v>
      </c>
      <c r="AI66" s="2">
        <v>4157</v>
      </c>
      <c r="AJ66" s="2">
        <v>1702.8181818181818</v>
      </c>
      <c r="AK66" s="2">
        <v>18731</v>
      </c>
      <c r="AL66" s="11">
        <v>50</v>
      </c>
      <c r="AM66" s="11">
        <v>46.5</v>
      </c>
      <c r="AN66" s="2">
        <v>1560.9166666666667</v>
      </c>
      <c r="AO66" s="2">
        <v>1702.8181818181818</v>
      </c>
      <c r="AP66" s="2">
        <v>1873.1</v>
      </c>
      <c r="AQ66" s="2">
        <v>9365.5</v>
      </c>
      <c r="AR66" s="2">
        <v>393</v>
      </c>
      <c r="AS66" s="2">
        <v>18.472051679034756</v>
      </c>
    </row>
    <row r="67" spans="1:45" ht="13.5" x14ac:dyDescent="0.2">
      <c r="A67" s="1" t="s">
        <v>66</v>
      </c>
      <c r="B67" s="2">
        <v>7031</v>
      </c>
      <c r="C67" s="11">
        <v>20.9</v>
      </c>
      <c r="D67" s="11">
        <v>23.8</v>
      </c>
      <c r="E67" s="11">
        <v>6.1</v>
      </c>
      <c r="F67" s="11">
        <v>19.2</v>
      </c>
      <c r="G67" s="11">
        <v>30.2</v>
      </c>
      <c r="H67" s="22">
        <v>2.2999999999999998</v>
      </c>
      <c r="I67" s="11">
        <v>30.1</v>
      </c>
      <c r="J67" s="11">
        <v>27.2</v>
      </c>
      <c r="K67" s="11">
        <v>13.5</v>
      </c>
      <c r="L67" s="14">
        <v>8</v>
      </c>
      <c r="M67" s="20">
        <v>879</v>
      </c>
      <c r="N67" s="2">
        <v>163.51162790697674</v>
      </c>
      <c r="O67" s="2">
        <v>149.59574468085106</v>
      </c>
      <c r="P67" s="15">
        <v>5.6890911676859619E-2</v>
      </c>
      <c r="Q67" s="11">
        <v>59</v>
      </c>
      <c r="R67" s="11">
        <v>3.1</v>
      </c>
      <c r="S67" s="12" t="s">
        <v>134</v>
      </c>
      <c r="T67" s="11">
        <v>3.8</v>
      </c>
      <c r="U67" s="11">
        <v>2</v>
      </c>
      <c r="V67" s="11">
        <v>3</v>
      </c>
      <c r="W67" s="2">
        <v>97.652777777777771</v>
      </c>
      <c r="X67" s="11">
        <v>1.2</v>
      </c>
      <c r="Y67" s="20">
        <v>94374</v>
      </c>
      <c r="Z67" s="2">
        <v>2.7336702954898913</v>
      </c>
      <c r="AA67" s="2">
        <v>2.3250661375661377</v>
      </c>
      <c r="AB67" s="11">
        <v>86.4</v>
      </c>
      <c r="AC67" s="11">
        <v>136</v>
      </c>
      <c r="AD67" s="11">
        <v>58.5</v>
      </c>
      <c r="AE67" s="11">
        <v>1.3</v>
      </c>
      <c r="AF67" s="11">
        <v>50</v>
      </c>
      <c r="AG67" s="2">
        <v>660</v>
      </c>
      <c r="AH67" s="2">
        <v>4902</v>
      </c>
      <c r="AI67" s="2">
        <v>4532</v>
      </c>
      <c r="AJ67" s="2">
        <v>1171.8333333333333</v>
      </c>
      <c r="AK67" s="2">
        <v>7031</v>
      </c>
      <c r="AL67" s="11">
        <v>28.2</v>
      </c>
      <c r="AM67" s="11">
        <v>68.900000000000006</v>
      </c>
      <c r="AN67" s="2">
        <v>2343.6666666666665</v>
      </c>
      <c r="AO67" s="2">
        <v>3515.5</v>
      </c>
      <c r="AP67" s="2">
        <v>3515.5</v>
      </c>
      <c r="AQ67" s="2">
        <v>7031</v>
      </c>
      <c r="AR67" s="2">
        <v>573</v>
      </c>
      <c r="AS67" s="2">
        <v>30.294410467927747</v>
      </c>
    </row>
    <row r="68" spans="1:45" ht="13.5" x14ac:dyDescent="0.2">
      <c r="A68" s="1" t="s">
        <v>67</v>
      </c>
      <c r="B68" s="2">
        <v>5940</v>
      </c>
      <c r="C68" s="11">
        <v>19.899999999999999</v>
      </c>
      <c r="D68" s="11">
        <v>21.4</v>
      </c>
      <c r="E68" s="11">
        <v>8.6</v>
      </c>
      <c r="F68" s="11">
        <v>18.7</v>
      </c>
      <c r="G68" s="11">
        <v>32.4</v>
      </c>
      <c r="H68" s="22">
        <v>2.2000000000000002</v>
      </c>
      <c r="I68" s="11">
        <v>35.1</v>
      </c>
      <c r="J68" s="11">
        <v>24.4</v>
      </c>
      <c r="K68" s="11">
        <v>19.399999999999999</v>
      </c>
      <c r="L68" s="14">
        <v>6.8</v>
      </c>
      <c r="M68" s="20">
        <v>874</v>
      </c>
      <c r="N68" s="2">
        <v>160.54054054054055</v>
      </c>
      <c r="O68" s="2">
        <v>94.285714285714292</v>
      </c>
      <c r="P68" s="15">
        <v>-0.20202020202020202</v>
      </c>
      <c r="Q68" s="11">
        <v>58.3</v>
      </c>
      <c r="R68" s="11">
        <v>3.3</v>
      </c>
      <c r="S68" s="11">
        <v>1.8</v>
      </c>
      <c r="T68" s="11">
        <v>2.6</v>
      </c>
      <c r="U68" s="11">
        <v>5</v>
      </c>
      <c r="V68" s="11">
        <v>10.4</v>
      </c>
      <c r="W68" s="2">
        <v>61.875</v>
      </c>
      <c r="X68" s="11">
        <v>2.2999999999999998</v>
      </c>
      <c r="Y68" s="20">
        <v>82757</v>
      </c>
      <c r="Z68" s="2">
        <v>3.2853982300884956</v>
      </c>
      <c r="AA68" s="2">
        <v>2.3637087146836451</v>
      </c>
      <c r="AB68" s="11">
        <v>72.3</v>
      </c>
      <c r="AC68" s="11">
        <v>127.3</v>
      </c>
      <c r="AD68" s="11">
        <v>53.9</v>
      </c>
      <c r="AE68" s="11">
        <v>3.3</v>
      </c>
      <c r="AF68" s="11">
        <v>100</v>
      </c>
      <c r="AG68" s="2">
        <v>660</v>
      </c>
      <c r="AH68" s="2">
        <v>4883</v>
      </c>
      <c r="AI68" s="2">
        <v>4996</v>
      </c>
      <c r="AJ68" s="2">
        <v>1980</v>
      </c>
      <c r="AK68" s="2">
        <v>5940</v>
      </c>
      <c r="AL68" s="11">
        <v>35.9</v>
      </c>
      <c r="AM68" s="11">
        <v>60</v>
      </c>
      <c r="AN68" s="2">
        <v>396</v>
      </c>
      <c r="AO68" s="2">
        <v>990</v>
      </c>
      <c r="AP68" s="2">
        <v>742.5</v>
      </c>
      <c r="AQ68" s="2">
        <v>2970</v>
      </c>
      <c r="AR68" s="2">
        <v>556</v>
      </c>
      <c r="AS68" s="2">
        <v>36.195286195286194</v>
      </c>
    </row>
    <row r="69" spans="1:45" ht="13.5" x14ac:dyDescent="0.2">
      <c r="A69" s="1" t="s">
        <v>68</v>
      </c>
      <c r="B69" s="2">
        <v>4839</v>
      </c>
      <c r="C69" s="11">
        <v>20.8</v>
      </c>
      <c r="D69" s="11">
        <v>23.1</v>
      </c>
      <c r="E69" s="11">
        <v>6.3</v>
      </c>
      <c r="F69" s="11">
        <v>18.2</v>
      </c>
      <c r="G69" s="11">
        <v>28.3</v>
      </c>
      <c r="H69" s="22">
        <v>2.2999999999999998</v>
      </c>
      <c r="I69" s="11">
        <v>34</v>
      </c>
      <c r="J69" s="11">
        <v>26.7</v>
      </c>
      <c r="K69" s="11">
        <v>13.9</v>
      </c>
      <c r="L69" s="14">
        <v>17.3</v>
      </c>
      <c r="M69" s="20">
        <v>280</v>
      </c>
      <c r="N69" s="2">
        <v>161.30000000000001</v>
      </c>
      <c r="O69" s="2">
        <v>138.25714285714287</v>
      </c>
      <c r="P69" s="15">
        <v>1.0332713370531101</v>
      </c>
      <c r="Q69" s="11">
        <v>54.9</v>
      </c>
      <c r="R69" s="11">
        <v>2.6</v>
      </c>
      <c r="S69" s="12" t="s">
        <v>134</v>
      </c>
      <c r="T69" s="11">
        <v>2.1</v>
      </c>
      <c r="U69" s="11">
        <v>2.6</v>
      </c>
      <c r="V69" s="11">
        <v>5.0999999999999996</v>
      </c>
      <c r="W69" s="2">
        <v>87.981818181818184</v>
      </c>
      <c r="X69" s="11">
        <v>1.3</v>
      </c>
      <c r="Y69" s="20">
        <v>116877</v>
      </c>
      <c r="Z69" s="2">
        <v>3.0510718789407316</v>
      </c>
      <c r="AA69" s="2">
        <v>2.3732221677292791</v>
      </c>
      <c r="AB69" s="11">
        <v>79.400000000000006</v>
      </c>
      <c r="AC69" s="11">
        <v>146.4</v>
      </c>
      <c r="AD69" s="11">
        <v>61.7</v>
      </c>
      <c r="AE69" s="11">
        <v>1.4</v>
      </c>
      <c r="AF69" s="2">
        <v>0</v>
      </c>
      <c r="AG69" s="2">
        <v>739</v>
      </c>
      <c r="AH69" s="2">
        <v>5808</v>
      </c>
      <c r="AI69" s="2">
        <v>4558</v>
      </c>
      <c r="AJ69" s="2">
        <v>1209.75</v>
      </c>
      <c r="AK69" s="2">
        <v>4839</v>
      </c>
      <c r="AL69" s="11">
        <v>14.4</v>
      </c>
      <c r="AM69" s="11">
        <v>77</v>
      </c>
      <c r="AN69" s="2" t="s">
        <v>137</v>
      </c>
      <c r="AO69" s="2" t="s">
        <v>137</v>
      </c>
      <c r="AP69" s="2">
        <v>967.8</v>
      </c>
      <c r="AQ69" s="2" t="s">
        <v>137</v>
      </c>
      <c r="AR69" s="2">
        <v>554</v>
      </c>
      <c r="AS69" s="2">
        <v>29.138251704897705</v>
      </c>
    </row>
    <row r="70" spans="1:45" ht="13.5" x14ac:dyDescent="0.2">
      <c r="A70" s="1" t="s">
        <v>69</v>
      </c>
      <c r="B70" s="2">
        <v>10822</v>
      </c>
      <c r="C70" s="11">
        <v>21.1</v>
      </c>
      <c r="D70" s="11">
        <v>22.2</v>
      </c>
      <c r="E70" s="11">
        <v>10.3</v>
      </c>
      <c r="F70" s="11">
        <v>20.9</v>
      </c>
      <c r="G70" s="11">
        <v>34.4</v>
      </c>
      <c r="H70" s="22">
        <v>2.2000000000000002</v>
      </c>
      <c r="I70" s="11">
        <v>38.4</v>
      </c>
      <c r="J70" s="11">
        <v>25.2</v>
      </c>
      <c r="K70" s="11">
        <v>19.2</v>
      </c>
      <c r="L70" s="14">
        <v>7</v>
      </c>
      <c r="M70" s="20">
        <v>1546</v>
      </c>
      <c r="N70" s="2">
        <v>169.09375</v>
      </c>
      <c r="O70" s="2">
        <v>108.22</v>
      </c>
      <c r="P70" s="15">
        <v>0.14784697837737942</v>
      </c>
      <c r="Q70" s="11">
        <v>58.3</v>
      </c>
      <c r="R70" s="11">
        <v>3.4</v>
      </c>
      <c r="S70" s="11">
        <v>2.4</v>
      </c>
      <c r="T70" s="11">
        <v>3.1</v>
      </c>
      <c r="U70" s="11">
        <v>5.8</v>
      </c>
      <c r="V70" s="11">
        <v>11.1</v>
      </c>
      <c r="W70" s="2">
        <v>46.051063829787232</v>
      </c>
      <c r="X70" s="11">
        <v>2</v>
      </c>
      <c r="Y70" s="20">
        <v>66052</v>
      </c>
      <c r="Z70" s="2">
        <v>3.7786312849162011</v>
      </c>
      <c r="AA70" s="2">
        <v>2.3505647263249347</v>
      </c>
      <c r="AB70" s="11">
        <v>59.7</v>
      </c>
      <c r="AC70" s="11">
        <v>107.7</v>
      </c>
      <c r="AD70" s="11">
        <v>45.8</v>
      </c>
      <c r="AE70" s="11">
        <v>4.0999999999999996</v>
      </c>
      <c r="AF70" s="11">
        <v>51.9</v>
      </c>
      <c r="AG70" s="2">
        <v>706</v>
      </c>
      <c r="AH70" s="2">
        <v>4827</v>
      </c>
      <c r="AI70" s="2">
        <v>4788</v>
      </c>
      <c r="AJ70" s="2">
        <v>983.81818181818187</v>
      </c>
      <c r="AK70" s="2">
        <v>10822</v>
      </c>
      <c r="AL70" s="11">
        <v>40.799999999999997</v>
      </c>
      <c r="AM70" s="11">
        <v>49.9</v>
      </c>
      <c r="AN70" s="2">
        <v>1352.75</v>
      </c>
      <c r="AO70" s="2">
        <v>2164.4</v>
      </c>
      <c r="AP70" s="2">
        <v>2705.5</v>
      </c>
      <c r="AQ70" s="2">
        <v>5411</v>
      </c>
      <c r="AR70" s="2">
        <v>462</v>
      </c>
      <c r="AS70" s="2">
        <v>21.807429310663462</v>
      </c>
    </row>
    <row r="71" spans="1:45" ht="13.5" x14ac:dyDescent="0.2">
      <c r="A71" s="1" t="s">
        <v>70</v>
      </c>
      <c r="B71" s="2">
        <v>20608</v>
      </c>
      <c r="C71" s="11">
        <v>18.7</v>
      </c>
      <c r="D71" s="11">
        <v>28.1</v>
      </c>
      <c r="E71" s="11">
        <v>8.5</v>
      </c>
      <c r="F71" s="11">
        <v>19.899999999999999</v>
      </c>
      <c r="G71" s="11">
        <v>31.5</v>
      </c>
      <c r="H71" s="22">
        <v>2.1</v>
      </c>
      <c r="I71" s="11">
        <v>40.5</v>
      </c>
      <c r="J71" s="11">
        <v>21.8</v>
      </c>
      <c r="K71" s="11">
        <v>19.2</v>
      </c>
      <c r="L71" s="14">
        <v>11.6</v>
      </c>
      <c r="M71" s="20">
        <v>1777</v>
      </c>
      <c r="N71" s="2">
        <v>224</v>
      </c>
      <c r="O71" s="2">
        <v>84.806584362139915</v>
      </c>
      <c r="P71" s="15">
        <v>0.2620341614906832</v>
      </c>
      <c r="Q71" s="11">
        <v>55.9</v>
      </c>
      <c r="R71" s="11">
        <v>3.3</v>
      </c>
      <c r="S71" s="11">
        <v>1.5</v>
      </c>
      <c r="T71" s="11">
        <v>3</v>
      </c>
      <c r="U71" s="11">
        <v>4</v>
      </c>
      <c r="V71" s="11">
        <v>7.9</v>
      </c>
      <c r="W71" s="2">
        <v>53.388601036269428</v>
      </c>
      <c r="X71" s="11">
        <v>2.1</v>
      </c>
      <c r="Y71" s="20">
        <v>79330</v>
      </c>
      <c r="Z71" s="2">
        <v>3.6826304503216583</v>
      </c>
      <c r="AA71" s="2">
        <v>2.2021799529814063</v>
      </c>
      <c r="AB71" s="11">
        <v>55.5</v>
      </c>
      <c r="AC71" s="11">
        <v>113.2</v>
      </c>
      <c r="AD71" s="11">
        <v>51.4</v>
      </c>
      <c r="AE71" s="11">
        <v>3.6</v>
      </c>
      <c r="AF71" s="11">
        <v>9.3000000000000007</v>
      </c>
      <c r="AG71" s="2">
        <v>905</v>
      </c>
      <c r="AH71" s="2">
        <v>5660</v>
      </c>
      <c r="AI71" s="2">
        <v>5113</v>
      </c>
      <c r="AJ71" s="2">
        <v>1472</v>
      </c>
      <c r="AK71" s="2">
        <v>5152</v>
      </c>
      <c r="AL71" s="11">
        <v>29.9</v>
      </c>
      <c r="AM71" s="11">
        <v>63.4</v>
      </c>
      <c r="AN71" s="2">
        <v>208.16161616161617</v>
      </c>
      <c r="AO71" s="2">
        <v>710.62068965517244</v>
      </c>
      <c r="AP71" s="2">
        <v>710.62068965517244</v>
      </c>
      <c r="AQ71" s="2">
        <v>6869.333333333333</v>
      </c>
      <c r="AR71" s="2">
        <v>455</v>
      </c>
      <c r="AS71" s="2">
        <v>21.787655279503106</v>
      </c>
    </row>
    <row r="72" spans="1:45" ht="13.5" x14ac:dyDescent="0.2">
      <c r="A72" s="1" t="s">
        <v>71</v>
      </c>
      <c r="B72" s="2">
        <v>95836</v>
      </c>
      <c r="C72" s="11">
        <v>18.3</v>
      </c>
      <c r="D72" s="11">
        <v>21</v>
      </c>
      <c r="E72" s="11">
        <v>20</v>
      </c>
      <c r="F72" s="11">
        <v>41.1</v>
      </c>
      <c r="G72" s="11">
        <v>56.8</v>
      </c>
      <c r="H72" s="22">
        <v>1.9</v>
      </c>
      <c r="I72" s="11">
        <v>47.4</v>
      </c>
      <c r="J72" s="11">
        <v>20.8</v>
      </c>
      <c r="K72" s="11">
        <v>27.7</v>
      </c>
      <c r="L72" s="14">
        <v>26.6</v>
      </c>
      <c r="M72" s="20">
        <v>3603</v>
      </c>
      <c r="N72" s="2">
        <v>97.692150866462796</v>
      </c>
      <c r="O72" s="2">
        <v>93.772994129158519</v>
      </c>
      <c r="P72" s="15">
        <v>0.39964105346633833</v>
      </c>
      <c r="Q72" s="11">
        <v>61.3</v>
      </c>
      <c r="R72" s="11">
        <v>6.1</v>
      </c>
      <c r="S72" s="11">
        <v>3.5</v>
      </c>
      <c r="T72" s="11">
        <v>5.3</v>
      </c>
      <c r="U72" s="11">
        <v>10</v>
      </c>
      <c r="V72" s="11">
        <v>18.100000000000001</v>
      </c>
      <c r="W72" s="2">
        <v>20.766197183098591</v>
      </c>
      <c r="X72" s="11">
        <v>8.5</v>
      </c>
      <c r="Y72" s="20">
        <v>43014</v>
      </c>
      <c r="Z72" s="2">
        <v>6.1833666688173432</v>
      </c>
      <c r="AA72" s="2">
        <v>2.097021947003348</v>
      </c>
      <c r="AB72" s="11">
        <v>27.2</v>
      </c>
      <c r="AC72" s="11">
        <v>80.900000000000006</v>
      </c>
      <c r="AD72" s="11">
        <v>38.6</v>
      </c>
      <c r="AE72" s="11">
        <v>7.3</v>
      </c>
      <c r="AF72" s="11">
        <v>42.4</v>
      </c>
      <c r="AG72" s="2">
        <v>652</v>
      </c>
      <c r="AH72" s="2">
        <v>4214</v>
      </c>
      <c r="AI72" s="2">
        <v>3770</v>
      </c>
      <c r="AJ72" s="2">
        <v>2395.9</v>
      </c>
      <c r="AK72" s="2">
        <v>7986.333333333333</v>
      </c>
      <c r="AL72" s="11">
        <v>52.6</v>
      </c>
      <c r="AM72" s="11">
        <v>42.4</v>
      </c>
      <c r="AN72" s="2">
        <v>560.44444444444446</v>
      </c>
      <c r="AO72" s="2">
        <v>1571.0819672131147</v>
      </c>
      <c r="AP72" s="2">
        <v>1474.4</v>
      </c>
      <c r="AQ72" s="2">
        <v>6389.0666666666666</v>
      </c>
      <c r="AR72" s="2">
        <v>379</v>
      </c>
      <c r="AS72" s="2">
        <v>10.757961517592554</v>
      </c>
    </row>
    <row r="73" spans="1:45" ht="13.5" x14ac:dyDescent="0.2">
      <c r="A73" s="1" t="s">
        <v>72</v>
      </c>
      <c r="B73" s="2">
        <v>41400</v>
      </c>
      <c r="C73" s="11">
        <v>16.7</v>
      </c>
      <c r="D73" s="11">
        <v>22.3</v>
      </c>
      <c r="E73" s="11">
        <v>17.600000000000001</v>
      </c>
      <c r="F73" s="11">
        <v>46.6</v>
      </c>
      <c r="G73" s="11">
        <v>65.8</v>
      </c>
      <c r="H73" s="22">
        <v>1.9</v>
      </c>
      <c r="I73" s="11">
        <v>50.2</v>
      </c>
      <c r="J73" s="11">
        <v>18.7</v>
      </c>
      <c r="K73" s="11">
        <v>28.3</v>
      </c>
      <c r="L73" s="14">
        <v>13</v>
      </c>
      <c r="M73" s="20">
        <v>3185</v>
      </c>
      <c r="N73" s="2">
        <v>117.28045325779037</v>
      </c>
      <c r="O73" s="2">
        <v>82.470119521912352</v>
      </c>
      <c r="P73" s="15">
        <v>0.68840579710144922</v>
      </c>
      <c r="Q73" s="11">
        <v>64.3</v>
      </c>
      <c r="R73" s="11">
        <v>6.3</v>
      </c>
      <c r="S73" s="11">
        <v>2.7</v>
      </c>
      <c r="T73" s="11">
        <v>6.2</v>
      </c>
      <c r="U73" s="11">
        <v>10.199999999999999</v>
      </c>
      <c r="V73" s="11">
        <v>18.399999999999999</v>
      </c>
      <c r="W73" s="2">
        <v>18.964727439303712</v>
      </c>
      <c r="X73" s="11">
        <v>9.4</v>
      </c>
      <c r="Y73" s="20">
        <v>38441</v>
      </c>
      <c r="Z73" s="2">
        <v>7.0890410958904111</v>
      </c>
      <c r="AA73" s="2">
        <v>1.974719771046983</v>
      </c>
      <c r="AB73" s="11">
        <v>21.1</v>
      </c>
      <c r="AC73" s="11">
        <v>74.2</v>
      </c>
      <c r="AD73" s="11">
        <v>37.6</v>
      </c>
      <c r="AE73" s="11">
        <v>7.2</v>
      </c>
      <c r="AF73" s="11">
        <v>26.9</v>
      </c>
      <c r="AG73" s="2">
        <v>596</v>
      </c>
      <c r="AH73" s="2">
        <v>4353</v>
      </c>
      <c r="AI73" s="2">
        <v>3785</v>
      </c>
      <c r="AJ73" s="2">
        <v>2587.5</v>
      </c>
      <c r="AK73" s="2">
        <v>10350</v>
      </c>
      <c r="AL73" s="11">
        <v>59.5</v>
      </c>
      <c r="AM73" s="11">
        <v>36.9</v>
      </c>
      <c r="AN73" s="2">
        <v>1035</v>
      </c>
      <c r="AO73" s="2">
        <v>3763.6363636363635</v>
      </c>
      <c r="AP73" s="2">
        <v>1656</v>
      </c>
      <c r="AQ73" s="2">
        <v>6900</v>
      </c>
      <c r="AR73" s="2">
        <v>367</v>
      </c>
      <c r="AS73" s="2">
        <v>8.4299516908212553</v>
      </c>
    </row>
    <row r="74" spans="1:45" ht="13.5" x14ac:dyDescent="0.2">
      <c r="A74" s="1" t="s">
        <v>73</v>
      </c>
      <c r="B74" s="2">
        <v>37560</v>
      </c>
      <c r="C74" s="11">
        <v>17.7</v>
      </c>
      <c r="D74" s="11">
        <v>20.2</v>
      </c>
      <c r="E74" s="11">
        <v>19.8</v>
      </c>
      <c r="F74" s="11">
        <v>39.700000000000003</v>
      </c>
      <c r="G74" s="11">
        <v>54.3</v>
      </c>
      <c r="H74" s="22">
        <v>1.9</v>
      </c>
      <c r="I74" s="11">
        <v>51.2</v>
      </c>
      <c r="J74" s="11">
        <v>19.3</v>
      </c>
      <c r="K74" s="11">
        <v>25.9</v>
      </c>
      <c r="L74" s="14">
        <v>10.4</v>
      </c>
      <c r="M74" s="20">
        <v>3612</v>
      </c>
      <c r="N74" s="2">
        <v>109.82456140350877</v>
      </c>
      <c r="O74" s="2">
        <v>81.123110151187902</v>
      </c>
      <c r="P74" s="15">
        <v>0.30617678381256658</v>
      </c>
      <c r="Q74" s="11">
        <v>62.5</v>
      </c>
      <c r="R74" s="11">
        <v>6.2</v>
      </c>
      <c r="S74" s="11">
        <v>2.9</v>
      </c>
      <c r="T74" s="11">
        <v>7.2</v>
      </c>
      <c r="U74" s="11">
        <v>10.7</v>
      </c>
      <c r="V74" s="11">
        <v>18.600000000000001</v>
      </c>
      <c r="W74" s="2">
        <v>17.600749765698218</v>
      </c>
      <c r="X74" s="11">
        <v>8.1999999999999993</v>
      </c>
      <c r="Y74" s="20">
        <v>45757</v>
      </c>
      <c r="Z74" s="2">
        <v>7.0482266841808974</v>
      </c>
      <c r="AA74" s="2">
        <v>2.0860871980005555</v>
      </c>
      <c r="AB74" s="11">
        <v>22.6</v>
      </c>
      <c r="AC74" s="11">
        <v>80.2</v>
      </c>
      <c r="AD74" s="11">
        <v>38.4</v>
      </c>
      <c r="AE74" s="11">
        <v>4</v>
      </c>
      <c r="AF74" s="11">
        <v>5.5</v>
      </c>
      <c r="AG74" s="2">
        <v>669</v>
      </c>
      <c r="AH74" s="2">
        <v>4050</v>
      </c>
      <c r="AI74" s="2">
        <v>4033</v>
      </c>
      <c r="AJ74" s="2">
        <v>1502.4</v>
      </c>
      <c r="AK74" s="2">
        <v>9390</v>
      </c>
      <c r="AL74" s="11">
        <v>53.3</v>
      </c>
      <c r="AM74" s="11">
        <v>40.6</v>
      </c>
      <c r="AN74" s="2">
        <v>215.86206896551724</v>
      </c>
      <c r="AO74" s="2">
        <v>963.07692307692309</v>
      </c>
      <c r="AP74" s="2">
        <v>647.58620689655174</v>
      </c>
      <c r="AQ74" s="2">
        <v>3130</v>
      </c>
      <c r="AR74" s="2">
        <v>336</v>
      </c>
      <c r="AS74" s="2">
        <v>14.66986155484558</v>
      </c>
    </row>
    <row r="75" spans="1:45" ht="13.5" x14ac:dyDescent="0.2">
      <c r="A75" s="1" t="s">
        <v>74</v>
      </c>
      <c r="B75" s="2">
        <v>4269</v>
      </c>
      <c r="C75" s="11">
        <v>19.899999999999999</v>
      </c>
      <c r="D75" s="11">
        <v>17.5</v>
      </c>
      <c r="E75" s="11">
        <v>22.1</v>
      </c>
      <c r="F75" s="11">
        <v>31.8</v>
      </c>
      <c r="G75" s="11">
        <v>46.2</v>
      </c>
      <c r="H75" s="22">
        <v>2.1</v>
      </c>
      <c r="I75" s="11">
        <v>38.299999999999997</v>
      </c>
      <c r="J75" s="11">
        <v>21.4</v>
      </c>
      <c r="K75" s="11">
        <v>19.7</v>
      </c>
      <c r="L75" s="14">
        <v>10.6</v>
      </c>
      <c r="M75" s="20">
        <v>403</v>
      </c>
      <c r="N75" s="2">
        <v>94.86666666666666</v>
      </c>
      <c r="O75" s="2">
        <v>164.19230769230768</v>
      </c>
      <c r="P75" s="15">
        <v>1.5694542047317872</v>
      </c>
      <c r="Q75" s="11">
        <v>62.1</v>
      </c>
      <c r="R75" s="11">
        <v>4.2</v>
      </c>
      <c r="S75" s="12" t="s">
        <v>134</v>
      </c>
      <c r="T75" s="11">
        <v>2.9</v>
      </c>
      <c r="U75" s="11">
        <v>10.8</v>
      </c>
      <c r="V75" s="11">
        <v>25.5</v>
      </c>
      <c r="W75" s="2">
        <v>21.238805970149254</v>
      </c>
      <c r="X75" s="11">
        <v>2.1</v>
      </c>
      <c r="Y75" s="20">
        <v>48225</v>
      </c>
      <c r="Z75" s="2">
        <v>4.2947686116700199</v>
      </c>
      <c r="AA75" s="2">
        <v>2.6206261510128912</v>
      </c>
      <c r="AB75" s="11">
        <v>60.3</v>
      </c>
      <c r="AC75" s="11">
        <v>105.1</v>
      </c>
      <c r="AD75" s="11">
        <v>40.1</v>
      </c>
      <c r="AE75" s="11">
        <v>0.3</v>
      </c>
      <c r="AF75" s="11">
        <v>100</v>
      </c>
      <c r="AG75" s="2">
        <v>411</v>
      </c>
      <c r="AH75" s="2">
        <v>3286</v>
      </c>
      <c r="AI75" s="12" t="s">
        <v>134</v>
      </c>
      <c r="AJ75" s="2">
        <v>4269</v>
      </c>
      <c r="AK75" s="2">
        <v>4269</v>
      </c>
      <c r="AL75" s="11">
        <v>54</v>
      </c>
      <c r="AM75" s="11">
        <v>39.200000000000003</v>
      </c>
      <c r="AN75" s="2">
        <v>609.85714285714289</v>
      </c>
      <c r="AO75" s="2">
        <v>1067.25</v>
      </c>
      <c r="AP75" s="2" t="s">
        <v>137</v>
      </c>
      <c r="AQ75" s="2" t="s">
        <v>137</v>
      </c>
      <c r="AR75" s="2">
        <v>464</v>
      </c>
      <c r="AS75" s="2">
        <v>16.631529632232372</v>
      </c>
    </row>
    <row r="76" spans="1:45" ht="13.5" x14ac:dyDescent="0.2">
      <c r="A76" s="1" t="s">
        <v>75</v>
      </c>
      <c r="B76" s="2">
        <v>2332</v>
      </c>
      <c r="C76" s="11">
        <v>19.899999999999999</v>
      </c>
      <c r="D76" s="11">
        <v>19.5</v>
      </c>
      <c r="E76" s="11">
        <v>6.8</v>
      </c>
      <c r="F76" s="11">
        <v>14.7</v>
      </c>
      <c r="G76" s="11">
        <v>19.8</v>
      </c>
      <c r="H76" s="22">
        <v>2.2000000000000002</v>
      </c>
      <c r="I76" s="11">
        <v>37.6</v>
      </c>
      <c r="J76" s="11">
        <v>24.2</v>
      </c>
      <c r="K76" s="11">
        <v>15.8</v>
      </c>
      <c r="L76" s="14">
        <v>15.6</v>
      </c>
      <c r="M76" s="20">
        <v>150</v>
      </c>
      <c r="N76" s="2">
        <v>122.73684210526316</v>
      </c>
      <c r="O76" s="2">
        <v>116.6</v>
      </c>
      <c r="P76" s="15">
        <v>-0.25728987993138935</v>
      </c>
      <c r="Q76" s="11">
        <v>65.7</v>
      </c>
      <c r="R76" s="11">
        <v>2</v>
      </c>
      <c r="S76" s="12" t="s">
        <v>134</v>
      </c>
      <c r="T76" s="12" t="s">
        <v>134</v>
      </c>
      <c r="U76" s="11">
        <v>3.3</v>
      </c>
      <c r="V76" s="11">
        <v>5.4</v>
      </c>
      <c r="W76" s="2">
        <v>68.588235294117652</v>
      </c>
      <c r="X76" s="11">
        <v>1.3</v>
      </c>
      <c r="Y76" s="20">
        <v>61716</v>
      </c>
      <c r="Z76" s="2">
        <v>3.2937853107344632</v>
      </c>
      <c r="AA76" s="2">
        <v>2.2618816682832201</v>
      </c>
      <c r="AB76" s="11">
        <v>73</v>
      </c>
      <c r="AC76" s="11">
        <v>111.5</v>
      </c>
      <c r="AD76" s="11">
        <v>49.3</v>
      </c>
      <c r="AE76" s="11">
        <v>0.4</v>
      </c>
      <c r="AF76" s="11">
        <v>100</v>
      </c>
      <c r="AG76" s="2">
        <v>354</v>
      </c>
      <c r="AH76" s="2">
        <v>3146</v>
      </c>
      <c r="AI76" s="12" t="s">
        <v>134</v>
      </c>
      <c r="AJ76" s="2">
        <v>2332</v>
      </c>
      <c r="AK76" s="2">
        <v>2332</v>
      </c>
      <c r="AL76" s="11">
        <v>59.1</v>
      </c>
      <c r="AM76" s="11">
        <v>36.4</v>
      </c>
      <c r="AN76" s="2">
        <v>1166</v>
      </c>
      <c r="AO76" s="2">
        <v>1166</v>
      </c>
      <c r="AP76" s="2" t="s">
        <v>137</v>
      </c>
      <c r="AQ76" s="2" t="s">
        <v>137</v>
      </c>
      <c r="AR76" s="2">
        <v>549</v>
      </c>
      <c r="AS76" s="2">
        <v>18.010291595197256</v>
      </c>
    </row>
    <row r="77" spans="1:45" ht="13.5" x14ac:dyDescent="0.2">
      <c r="A77" s="1" t="s">
        <v>76</v>
      </c>
      <c r="B77" s="2">
        <v>3731</v>
      </c>
      <c r="C77" s="11">
        <v>17.399999999999999</v>
      </c>
      <c r="D77" s="11">
        <v>22.4</v>
      </c>
      <c r="E77" s="11">
        <v>7</v>
      </c>
      <c r="F77" s="11">
        <v>14.7</v>
      </c>
      <c r="G77" s="11">
        <v>26</v>
      </c>
      <c r="H77" s="22">
        <v>2.1</v>
      </c>
      <c r="I77" s="11">
        <v>38.1</v>
      </c>
      <c r="J77" s="11">
        <v>22.1</v>
      </c>
      <c r="K77" s="11">
        <v>17.100000000000001</v>
      </c>
      <c r="L77" s="14">
        <v>18.600000000000001</v>
      </c>
      <c r="M77" s="20">
        <v>201</v>
      </c>
      <c r="N77" s="2">
        <v>143.5</v>
      </c>
      <c r="O77" s="2">
        <v>143.5</v>
      </c>
      <c r="P77" s="15">
        <v>1.8493701420530688</v>
      </c>
      <c r="Q77" s="11">
        <v>65.599999999999994</v>
      </c>
      <c r="R77" s="11">
        <v>3.6</v>
      </c>
      <c r="S77" s="11">
        <v>3.2</v>
      </c>
      <c r="T77" s="11">
        <v>3.4</v>
      </c>
      <c r="U77" s="11">
        <v>5.0999999999999996</v>
      </c>
      <c r="V77" s="11">
        <v>11</v>
      </c>
      <c r="W77" s="2">
        <v>43.89411764705882</v>
      </c>
      <c r="X77" s="11">
        <v>1.8</v>
      </c>
      <c r="Y77" s="20">
        <v>50127</v>
      </c>
      <c r="Z77" s="2">
        <v>3.2959363957597172</v>
      </c>
      <c r="AA77" s="2">
        <v>2.2287933094384709</v>
      </c>
      <c r="AB77" s="11">
        <v>70.5</v>
      </c>
      <c r="AC77" s="11">
        <v>109.1</v>
      </c>
      <c r="AD77" s="11">
        <v>49</v>
      </c>
      <c r="AE77" s="11">
        <v>1.2</v>
      </c>
      <c r="AF77" s="2">
        <v>0</v>
      </c>
      <c r="AG77" s="2">
        <v>388</v>
      </c>
      <c r="AH77" s="2">
        <v>3513</v>
      </c>
      <c r="AI77" s="12" t="s">
        <v>134</v>
      </c>
      <c r="AJ77" s="2">
        <v>1865.5</v>
      </c>
      <c r="AK77" s="2" t="s">
        <v>137</v>
      </c>
      <c r="AL77" s="11">
        <v>58.3</v>
      </c>
      <c r="AM77" s="11">
        <v>36.5</v>
      </c>
      <c r="AN77" s="2">
        <v>3731</v>
      </c>
      <c r="AO77" s="2">
        <v>3731</v>
      </c>
      <c r="AP77" s="2">
        <v>1243.6666666666667</v>
      </c>
      <c r="AQ77" s="2">
        <v>3731</v>
      </c>
      <c r="AR77" s="2">
        <v>569</v>
      </c>
      <c r="AS77" s="2">
        <v>19.565800053604931</v>
      </c>
    </row>
    <row r="78" spans="1:45" ht="13.5" x14ac:dyDescent="0.2">
      <c r="A78" s="1" t="s">
        <v>77</v>
      </c>
      <c r="B78" s="2">
        <v>10398</v>
      </c>
      <c r="C78" s="11">
        <v>18.100000000000001</v>
      </c>
      <c r="D78" s="11">
        <v>21.2</v>
      </c>
      <c r="E78" s="11">
        <v>9.1</v>
      </c>
      <c r="F78" s="11">
        <v>15.8</v>
      </c>
      <c r="G78" s="11">
        <v>23.3</v>
      </c>
      <c r="H78" s="22">
        <v>2.1</v>
      </c>
      <c r="I78" s="11">
        <v>36.700000000000003</v>
      </c>
      <c r="J78" s="11">
        <v>22.9</v>
      </c>
      <c r="K78" s="11">
        <v>18</v>
      </c>
      <c r="L78" s="14">
        <v>32.299999999999997</v>
      </c>
      <c r="M78" s="20">
        <v>322</v>
      </c>
      <c r="N78" s="2">
        <v>192.55555555555554</v>
      </c>
      <c r="O78" s="2">
        <v>113.02173913043478</v>
      </c>
      <c r="P78" s="15">
        <v>4.8086170417387962E-2</v>
      </c>
      <c r="Q78" s="11">
        <v>69.7</v>
      </c>
      <c r="R78" s="11">
        <v>2.5</v>
      </c>
      <c r="S78" s="11">
        <v>1.3</v>
      </c>
      <c r="T78" s="11">
        <v>2.2000000000000002</v>
      </c>
      <c r="U78" s="11">
        <v>3.9</v>
      </c>
      <c r="V78" s="11">
        <v>7</v>
      </c>
      <c r="W78" s="2">
        <v>59.417142857142856</v>
      </c>
      <c r="X78" s="11">
        <v>1.7</v>
      </c>
      <c r="Y78" s="20">
        <v>49915</v>
      </c>
      <c r="Z78" s="2">
        <v>3.4857525980556487</v>
      </c>
      <c r="AA78" s="2">
        <v>2.259452411994785</v>
      </c>
      <c r="AB78" s="11">
        <v>68.099999999999994</v>
      </c>
      <c r="AC78" s="11">
        <v>107</v>
      </c>
      <c r="AD78" s="11">
        <v>47.4</v>
      </c>
      <c r="AE78" s="11">
        <v>0.4</v>
      </c>
      <c r="AF78" s="11">
        <v>66.7</v>
      </c>
      <c r="AG78" s="2">
        <v>371</v>
      </c>
      <c r="AH78" s="2">
        <v>3151</v>
      </c>
      <c r="AI78" s="12" t="s">
        <v>134</v>
      </c>
      <c r="AJ78" s="2">
        <v>1155.3333333333333</v>
      </c>
      <c r="AK78" s="2">
        <v>3466</v>
      </c>
      <c r="AL78" s="11">
        <v>64.8</v>
      </c>
      <c r="AM78" s="11">
        <v>32.5</v>
      </c>
      <c r="AN78" s="2">
        <v>1485.4285714285713</v>
      </c>
      <c r="AO78" s="2">
        <v>1733</v>
      </c>
      <c r="AP78" s="2">
        <v>5199</v>
      </c>
      <c r="AQ78" s="2">
        <v>5199</v>
      </c>
      <c r="AR78" s="2">
        <v>553</v>
      </c>
      <c r="AS78" s="2">
        <v>17.022504327755339</v>
      </c>
    </row>
    <row r="79" spans="1:45" ht="13.5" x14ac:dyDescent="0.2">
      <c r="A79" s="1" t="s">
        <v>78</v>
      </c>
      <c r="B79" s="2">
        <v>3015</v>
      </c>
      <c r="C79" s="11">
        <v>20.2</v>
      </c>
      <c r="D79" s="11">
        <v>18.2</v>
      </c>
      <c r="E79" s="11">
        <v>8.3000000000000007</v>
      </c>
      <c r="F79" s="11">
        <v>19.7</v>
      </c>
      <c r="G79" s="11">
        <v>30.3</v>
      </c>
      <c r="H79" s="22">
        <v>2.2000000000000002</v>
      </c>
      <c r="I79" s="11">
        <v>36.4</v>
      </c>
      <c r="J79" s="11">
        <v>25.1</v>
      </c>
      <c r="K79" s="11">
        <v>15.4</v>
      </c>
      <c r="L79" s="14">
        <v>14.1</v>
      </c>
      <c r="M79" s="20">
        <v>214</v>
      </c>
      <c r="N79" s="2">
        <v>167.5</v>
      </c>
      <c r="O79" s="2">
        <v>150.75</v>
      </c>
      <c r="P79" s="15">
        <v>-0.72968490878938641</v>
      </c>
      <c r="Q79" s="11">
        <v>67.599999999999994</v>
      </c>
      <c r="R79" s="11">
        <v>2.9</v>
      </c>
      <c r="S79" s="12" t="s">
        <v>134</v>
      </c>
      <c r="T79" s="11">
        <v>2.9</v>
      </c>
      <c r="U79" s="11">
        <v>4.0999999999999996</v>
      </c>
      <c r="V79" s="11">
        <v>6</v>
      </c>
      <c r="W79" s="2">
        <v>49.42622950819672</v>
      </c>
      <c r="X79" s="11">
        <v>1.6</v>
      </c>
      <c r="Y79" s="20">
        <v>55371</v>
      </c>
      <c r="Z79" s="2">
        <v>3.5428907168037602</v>
      </c>
      <c r="AA79" s="2">
        <v>2.3174481168332051</v>
      </c>
      <c r="AB79" s="11">
        <v>65.8</v>
      </c>
      <c r="AC79" s="11">
        <v>110.6</v>
      </c>
      <c r="AD79" s="11">
        <v>47.7</v>
      </c>
      <c r="AE79" s="11">
        <v>1.6</v>
      </c>
      <c r="AF79" s="2">
        <v>0</v>
      </c>
      <c r="AG79" s="2">
        <v>339</v>
      </c>
      <c r="AH79" s="2">
        <v>2510</v>
      </c>
      <c r="AI79" s="12" t="s">
        <v>134</v>
      </c>
      <c r="AJ79" s="2">
        <v>1507.5</v>
      </c>
      <c r="AK79" s="2">
        <v>3015</v>
      </c>
      <c r="AL79" s="11">
        <v>56.2</v>
      </c>
      <c r="AM79" s="11">
        <v>41.3</v>
      </c>
      <c r="AN79" s="2">
        <v>1507.5</v>
      </c>
      <c r="AO79" s="2">
        <v>1507.5</v>
      </c>
      <c r="AP79" s="2" t="s">
        <v>137</v>
      </c>
      <c r="AQ79" s="2" t="s">
        <v>137</v>
      </c>
      <c r="AR79" s="2">
        <v>570</v>
      </c>
      <c r="AS79" s="2">
        <v>15.920398009950249</v>
      </c>
    </row>
    <row r="80" spans="1:45" ht="13.5" x14ac:dyDescent="0.2">
      <c r="A80" s="1" t="s">
        <v>79</v>
      </c>
      <c r="B80" s="2">
        <v>497</v>
      </c>
      <c r="C80" s="11">
        <v>13.7</v>
      </c>
      <c r="D80" s="11">
        <v>26.8</v>
      </c>
      <c r="E80" s="11">
        <v>7.6</v>
      </c>
      <c r="F80" s="11">
        <v>12.8</v>
      </c>
      <c r="G80" s="11">
        <v>20.9</v>
      </c>
      <c r="H80" s="22">
        <v>2</v>
      </c>
      <c r="I80" s="11">
        <v>41.4</v>
      </c>
      <c r="J80" s="11">
        <v>16.899999999999999</v>
      </c>
      <c r="K80" s="13" t="s">
        <v>135</v>
      </c>
      <c r="L80" s="14">
        <v>6.9</v>
      </c>
      <c r="M80" s="20">
        <v>72</v>
      </c>
      <c r="N80" s="12" t="s">
        <v>137</v>
      </c>
      <c r="O80" s="23">
        <v>71</v>
      </c>
      <c r="P80" s="15">
        <v>-2.816901408450704</v>
      </c>
      <c r="Q80" s="12" t="s">
        <v>134</v>
      </c>
      <c r="R80" s="12" t="s">
        <v>134</v>
      </c>
      <c r="S80" s="12" t="s">
        <v>134</v>
      </c>
      <c r="T80" s="12" t="s">
        <v>134</v>
      </c>
      <c r="U80" s="11">
        <v>4.8</v>
      </c>
      <c r="V80" s="11">
        <v>16.399999999999999</v>
      </c>
      <c r="W80" s="2">
        <v>45.18181818181818</v>
      </c>
      <c r="X80" s="11">
        <v>3</v>
      </c>
      <c r="Y80" s="20">
        <v>51794</v>
      </c>
      <c r="Z80" s="2">
        <v>3.1656050955414012</v>
      </c>
      <c r="AA80" s="2">
        <v>2.1148936170212767</v>
      </c>
      <c r="AB80" s="11">
        <v>68.900000000000006</v>
      </c>
      <c r="AC80" s="11">
        <v>119.7</v>
      </c>
      <c r="AD80" s="11">
        <v>56.6</v>
      </c>
      <c r="AE80" s="2">
        <v>0</v>
      </c>
      <c r="AF80" s="2">
        <v>0</v>
      </c>
      <c r="AG80" s="2">
        <v>341</v>
      </c>
      <c r="AH80" s="12" t="s">
        <v>134</v>
      </c>
      <c r="AI80" s="12" t="s">
        <v>134</v>
      </c>
      <c r="AJ80" s="12" t="s">
        <v>137</v>
      </c>
      <c r="AK80" s="2" t="s">
        <v>137</v>
      </c>
      <c r="AL80" s="13" t="s">
        <v>135</v>
      </c>
      <c r="AM80" s="13" t="s">
        <v>135</v>
      </c>
      <c r="AN80" s="2" t="s">
        <v>137</v>
      </c>
      <c r="AO80" s="2" t="s">
        <v>137</v>
      </c>
      <c r="AP80" s="2">
        <v>497</v>
      </c>
      <c r="AQ80" s="2" t="s">
        <v>137</v>
      </c>
      <c r="AR80" s="2">
        <v>634</v>
      </c>
      <c r="AS80" s="2">
        <v>18.108651911468812</v>
      </c>
    </row>
    <row r="81" spans="1:45" ht="13.5" x14ac:dyDescent="0.2">
      <c r="A81" s="1" t="s">
        <v>80</v>
      </c>
      <c r="B81" s="2">
        <v>1411</v>
      </c>
      <c r="C81" s="11">
        <v>15.2</v>
      </c>
      <c r="D81" s="11">
        <v>22.4</v>
      </c>
      <c r="E81" s="11">
        <v>14.9</v>
      </c>
      <c r="F81" s="11">
        <v>26.5</v>
      </c>
      <c r="G81" s="11">
        <v>34.9</v>
      </c>
      <c r="H81" s="22">
        <v>2</v>
      </c>
      <c r="I81" s="11">
        <v>41.1</v>
      </c>
      <c r="J81" s="11">
        <v>17.899999999999999</v>
      </c>
      <c r="K81" s="11">
        <v>23</v>
      </c>
      <c r="L81" s="14">
        <v>8.6</v>
      </c>
      <c r="M81" s="20">
        <v>164</v>
      </c>
      <c r="N81" s="2">
        <v>176.375</v>
      </c>
      <c r="O81" s="2">
        <v>108.53846153846153</v>
      </c>
      <c r="P81" s="15">
        <v>1.2756909992912828</v>
      </c>
      <c r="Q81" s="11">
        <v>63.6</v>
      </c>
      <c r="R81" s="11">
        <v>2.5</v>
      </c>
      <c r="S81" s="12" t="s">
        <v>134</v>
      </c>
      <c r="T81" s="11">
        <v>3.8</v>
      </c>
      <c r="U81" s="11">
        <v>4.3</v>
      </c>
      <c r="V81" s="11">
        <v>6.2</v>
      </c>
      <c r="W81" s="2">
        <v>44.09375</v>
      </c>
      <c r="X81" s="11">
        <v>1.6</v>
      </c>
      <c r="Y81" s="20">
        <v>46641</v>
      </c>
      <c r="Z81" s="2">
        <v>3.424757281553398</v>
      </c>
      <c r="AA81" s="2">
        <v>2.5423423423423421</v>
      </c>
      <c r="AB81" s="11">
        <v>81.599999999999994</v>
      </c>
      <c r="AC81" s="11">
        <v>118.1</v>
      </c>
      <c r="AD81" s="11">
        <v>46.5</v>
      </c>
      <c r="AE81" s="2">
        <v>0</v>
      </c>
      <c r="AF81" s="2">
        <v>0</v>
      </c>
      <c r="AG81" s="2">
        <v>393</v>
      </c>
      <c r="AH81" s="2">
        <v>3381</v>
      </c>
      <c r="AI81" s="2">
        <v>4273</v>
      </c>
      <c r="AJ81" s="2">
        <v>1411</v>
      </c>
      <c r="AK81" s="2" t="s">
        <v>137</v>
      </c>
      <c r="AL81" s="11">
        <v>58.3</v>
      </c>
      <c r="AM81" s="11">
        <v>35</v>
      </c>
      <c r="AN81" s="2" t="s">
        <v>137</v>
      </c>
      <c r="AO81" s="2" t="s">
        <v>137</v>
      </c>
      <c r="AP81" s="2">
        <v>1411</v>
      </c>
      <c r="AQ81" s="2" t="s">
        <v>137</v>
      </c>
      <c r="AR81" s="2">
        <v>541</v>
      </c>
      <c r="AS81" s="2">
        <v>73.706591070163</v>
      </c>
    </row>
    <row r="82" spans="1:45" ht="13.5" x14ac:dyDescent="0.2">
      <c r="A82" s="1" t="s">
        <v>81</v>
      </c>
      <c r="B82" s="2">
        <v>4117</v>
      </c>
      <c r="C82" s="11">
        <v>21.1</v>
      </c>
      <c r="D82" s="11">
        <v>8</v>
      </c>
      <c r="E82" s="11">
        <v>57.9</v>
      </c>
      <c r="F82" s="11">
        <v>71.099999999999994</v>
      </c>
      <c r="G82" s="11">
        <v>86.2</v>
      </c>
      <c r="H82" s="22">
        <v>2</v>
      </c>
      <c r="I82" s="11">
        <v>44.8</v>
      </c>
      <c r="J82" s="11">
        <v>18.8</v>
      </c>
      <c r="K82" s="11">
        <v>25.3</v>
      </c>
      <c r="L82" s="14">
        <v>9.5</v>
      </c>
      <c r="M82" s="20">
        <v>433</v>
      </c>
      <c r="N82" s="2">
        <v>89.5</v>
      </c>
      <c r="O82" s="2">
        <v>158.34615384615384</v>
      </c>
      <c r="P82" s="15">
        <v>7.0196745202817583</v>
      </c>
      <c r="Q82" s="11">
        <v>37.4</v>
      </c>
      <c r="R82" s="11">
        <v>9.6999999999999993</v>
      </c>
      <c r="S82" s="11">
        <v>3.6</v>
      </c>
      <c r="T82" s="11">
        <v>12.5</v>
      </c>
      <c r="U82" s="11">
        <v>29.6</v>
      </c>
      <c r="V82" s="11">
        <v>60.7</v>
      </c>
      <c r="W82" s="2">
        <v>9.8729016786570742</v>
      </c>
      <c r="X82" s="11">
        <v>17.899999999999999</v>
      </c>
      <c r="Y82" s="20">
        <v>33201</v>
      </c>
      <c r="Z82" s="2">
        <v>11.404432132963988</v>
      </c>
      <c r="AA82" s="2">
        <v>4.3109947643979059</v>
      </c>
      <c r="AB82" s="11">
        <v>35.6</v>
      </c>
      <c r="AC82" s="11">
        <v>82.8</v>
      </c>
      <c r="AD82" s="11">
        <v>19.2</v>
      </c>
      <c r="AE82" s="11">
        <v>81.3</v>
      </c>
      <c r="AF82" s="2">
        <v>0</v>
      </c>
      <c r="AG82" s="2">
        <v>404</v>
      </c>
      <c r="AH82" s="12" t="s">
        <v>134</v>
      </c>
      <c r="AI82" s="12" t="s">
        <v>134</v>
      </c>
      <c r="AJ82" s="2">
        <v>1372.3333333333333</v>
      </c>
      <c r="AK82" s="2">
        <v>4117</v>
      </c>
      <c r="AL82" s="11">
        <v>74.2</v>
      </c>
      <c r="AM82" s="11">
        <v>20.100000000000001</v>
      </c>
      <c r="AN82" s="2" t="s">
        <v>137</v>
      </c>
      <c r="AO82" s="2" t="s">
        <v>137</v>
      </c>
      <c r="AP82" s="2" t="s">
        <v>137</v>
      </c>
      <c r="AQ82" s="2" t="s">
        <v>137</v>
      </c>
      <c r="AR82" s="2">
        <v>202</v>
      </c>
      <c r="AS82" s="2">
        <v>5.1008015545299976</v>
      </c>
    </row>
    <row r="83" spans="1:45" ht="13.5" x14ac:dyDescent="0.2">
      <c r="A83" s="1" t="s">
        <v>82</v>
      </c>
      <c r="B83" s="2">
        <v>1203</v>
      </c>
      <c r="C83" s="11">
        <v>15.4</v>
      </c>
      <c r="D83" s="11">
        <v>18</v>
      </c>
      <c r="E83" s="11">
        <v>17.5</v>
      </c>
      <c r="F83" s="11">
        <v>30</v>
      </c>
      <c r="G83" s="11">
        <v>46.5</v>
      </c>
      <c r="H83" s="22">
        <v>1.9</v>
      </c>
      <c r="I83" s="11">
        <v>45.2</v>
      </c>
      <c r="J83" s="11">
        <v>15.2</v>
      </c>
      <c r="K83" s="11">
        <v>23.3</v>
      </c>
      <c r="L83" s="14">
        <v>4.4000000000000004</v>
      </c>
      <c r="M83" s="20">
        <v>273</v>
      </c>
      <c r="N83" s="2">
        <v>300.75</v>
      </c>
      <c r="O83" s="2">
        <v>171.85714285714286</v>
      </c>
      <c r="P83" s="15">
        <v>2.5768911055694099</v>
      </c>
      <c r="Q83" s="11">
        <v>58.5</v>
      </c>
      <c r="R83" s="11">
        <v>4</v>
      </c>
      <c r="S83" s="12" t="s">
        <v>134</v>
      </c>
      <c r="T83" s="11">
        <v>5</v>
      </c>
      <c r="U83" s="11">
        <v>8.5</v>
      </c>
      <c r="V83" s="11">
        <v>22.4</v>
      </c>
      <c r="W83" s="2">
        <v>24.551020408163264</v>
      </c>
      <c r="X83" s="11">
        <v>12.9</v>
      </c>
      <c r="Y83" s="20">
        <v>42058</v>
      </c>
      <c r="Z83" s="2">
        <v>3.4869565217391303</v>
      </c>
      <c r="AA83" s="2">
        <v>2.340466926070039</v>
      </c>
      <c r="AB83" s="11">
        <v>69.3</v>
      </c>
      <c r="AC83" s="11">
        <v>100</v>
      </c>
      <c r="AD83" s="11">
        <v>42.7</v>
      </c>
      <c r="AE83" s="2">
        <v>0</v>
      </c>
      <c r="AF83" s="2">
        <v>0</v>
      </c>
      <c r="AG83" s="2">
        <v>343</v>
      </c>
      <c r="AH83" s="12" t="s">
        <v>134</v>
      </c>
      <c r="AI83" s="12" t="s">
        <v>134</v>
      </c>
      <c r="AJ83" s="12" t="s">
        <v>137</v>
      </c>
      <c r="AK83" s="2" t="s">
        <v>145</v>
      </c>
      <c r="AL83" s="11">
        <v>67.8</v>
      </c>
      <c r="AM83" s="11">
        <v>32.200000000000003</v>
      </c>
      <c r="AN83" s="2">
        <v>1203</v>
      </c>
      <c r="AO83" s="2" t="s">
        <v>137</v>
      </c>
      <c r="AP83" s="2" t="s">
        <v>137</v>
      </c>
      <c r="AQ83" s="2" t="s">
        <v>137</v>
      </c>
      <c r="AR83" s="2">
        <v>524</v>
      </c>
      <c r="AS83" s="2">
        <v>14.962593516209477</v>
      </c>
    </row>
    <row r="84" spans="1:45" ht="13.5" x14ac:dyDescent="0.2">
      <c r="A84" s="1" t="s">
        <v>83</v>
      </c>
      <c r="B84" s="2">
        <v>560</v>
      </c>
      <c r="C84" s="11">
        <v>14.5</v>
      </c>
      <c r="D84" s="11">
        <v>21.1</v>
      </c>
      <c r="E84" s="11">
        <v>7.3</v>
      </c>
      <c r="F84" s="11">
        <v>13.8</v>
      </c>
      <c r="G84" s="11">
        <v>11.1</v>
      </c>
      <c r="H84" s="22">
        <v>2.2000000000000002</v>
      </c>
      <c r="I84" s="11">
        <v>36.5</v>
      </c>
      <c r="J84" s="11">
        <v>21.9</v>
      </c>
      <c r="K84" s="11">
        <v>10.5</v>
      </c>
      <c r="L84" s="14">
        <v>3.1</v>
      </c>
      <c r="M84" s="20">
        <v>181</v>
      </c>
      <c r="N84" s="12" t="s">
        <v>137</v>
      </c>
      <c r="O84" s="23">
        <v>70</v>
      </c>
      <c r="P84" s="15">
        <v>-0.5357142857142857</v>
      </c>
      <c r="Q84" s="12" t="s">
        <v>134</v>
      </c>
      <c r="R84" s="12" t="s">
        <v>134</v>
      </c>
      <c r="S84" s="12" t="s">
        <v>134</v>
      </c>
      <c r="T84" s="12" t="s">
        <v>134</v>
      </c>
      <c r="U84" s="11">
        <v>1.3</v>
      </c>
      <c r="V84" s="2">
        <v>0</v>
      </c>
      <c r="W84" s="2">
        <v>80</v>
      </c>
      <c r="X84" s="2">
        <v>0</v>
      </c>
      <c r="Y84" s="20">
        <v>55732</v>
      </c>
      <c r="Z84" s="2">
        <v>3.3136094674556213</v>
      </c>
      <c r="AA84" s="2">
        <v>2.3829787234042552</v>
      </c>
      <c r="AB84" s="11">
        <v>78.3</v>
      </c>
      <c r="AC84" s="11">
        <v>116.7</v>
      </c>
      <c r="AD84" s="11">
        <v>49</v>
      </c>
      <c r="AE84" s="2">
        <v>0</v>
      </c>
      <c r="AF84" s="2">
        <v>0</v>
      </c>
      <c r="AG84" s="2">
        <v>343</v>
      </c>
      <c r="AH84" s="12" t="s">
        <v>134</v>
      </c>
      <c r="AI84" s="12" t="s">
        <v>134</v>
      </c>
      <c r="AJ84" s="12" t="s">
        <v>137</v>
      </c>
      <c r="AK84" s="2" t="s">
        <v>145</v>
      </c>
      <c r="AL84" s="13" t="s">
        <v>135</v>
      </c>
      <c r="AM84" s="13" t="s">
        <v>135</v>
      </c>
      <c r="AN84" s="2" t="s">
        <v>137</v>
      </c>
      <c r="AO84" s="2" t="s">
        <v>137</v>
      </c>
      <c r="AP84" s="2" t="s">
        <v>137</v>
      </c>
      <c r="AQ84" s="2" t="s">
        <v>137</v>
      </c>
      <c r="AR84" s="2">
        <v>584</v>
      </c>
      <c r="AS84" s="2">
        <v>26.785714285714285</v>
      </c>
    </row>
    <row r="85" spans="1:45" ht="13.5" x14ac:dyDescent="0.2">
      <c r="A85" s="1" t="s">
        <v>84</v>
      </c>
      <c r="B85" s="2">
        <v>537</v>
      </c>
      <c r="C85" s="11">
        <v>14</v>
      </c>
      <c r="D85" s="11">
        <v>22.5</v>
      </c>
      <c r="E85" s="11">
        <v>4.8</v>
      </c>
      <c r="F85" s="11">
        <v>9.9</v>
      </c>
      <c r="G85" s="11">
        <v>14.7</v>
      </c>
      <c r="H85" s="22">
        <v>2</v>
      </c>
      <c r="I85" s="11">
        <v>39.200000000000003</v>
      </c>
      <c r="J85" s="11">
        <v>18.3</v>
      </c>
      <c r="K85" s="13" t="s">
        <v>135</v>
      </c>
      <c r="L85" s="14">
        <v>3.4</v>
      </c>
      <c r="M85" s="20">
        <v>158</v>
      </c>
      <c r="N85" s="2">
        <v>67.125</v>
      </c>
      <c r="O85" s="2">
        <v>67.125</v>
      </c>
      <c r="P85" s="15">
        <v>-3.1657355679702048</v>
      </c>
      <c r="Q85" s="12" t="s">
        <v>134</v>
      </c>
      <c r="R85" s="12" t="s">
        <v>134</v>
      </c>
      <c r="S85" s="12" t="s">
        <v>134</v>
      </c>
      <c r="T85" s="12" t="s">
        <v>134</v>
      </c>
      <c r="U85" s="11">
        <v>1.7</v>
      </c>
      <c r="V85" s="2">
        <v>0</v>
      </c>
      <c r="W85" s="2">
        <v>89.5</v>
      </c>
      <c r="X85" s="2">
        <v>0</v>
      </c>
      <c r="Y85" s="20">
        <v>66563</v>
      </c>
      <c r="Z85" s="2">
        <v>3.8357142857142859</v>
      </c>
      <c r="AA85" s="2">
        <v>2.1918367346938776</v>
      </c>
      <c r="AB85" s="11">
        <v>53.9</v>
      </c>
      <c r="AC85" s="11">
        <v>108.9</v>
      </c>
      <c r="AD85" s="11">
        <v>49.7</v>
      </c>
      <c r="AE85" s="2">
        <v>0</v>
      </c>
      <c r="AF85" s="2">
        <v>0</v>
      </c>
      <c r="AG85" s="2">
        <v>343</v>
      </c>
      <c r="AH85" s="12" t="s">
        <v>134</v>
      </c>
      <c r="AI85" s="12" t="s">
        <v>134</v>
      </c>
      <c r="AJ85" s="12" t="s">
        <v>137</v>
      </c>
      <c r="AK85" s="2" t="s">
        <v>145</v>
      </c>
      <c r="AL85" s="13" t="s">
        <v>135</v>
      </c>
      <c r="AM85" s="13" t="s">
        <v>135</v>
      </c>
      <c r="AN85" s="2" t="s">
        <v>137</v>
      </c>
      <c r="AO85" s="2" t="s">
        <v>137</v>
      </c>
      <c r="AP85" s="2" t="s">
        <v>137</v>
      </c>
      <c r="AQ85" s="2" t="s">
        <v>137</v>
      </c>
      <c r="AR85" s="2">
        <v>601</v>
      </c>
      <c r="AS85" s="2">
        <v>14.8975791433892</v>
      </c>
    </row>
    <row r="86" spans="1:45" ht="13.5" x14ac:dyDescent="0.2">
      <c r="A86" s="1" t="s">
        <v>100</v>
      </c>
      <c r="B86" s="2">
        <v>23233</v>
      </c>
      <c r="C86" s="11">
        <v>21.7</v>
      </c>
      <c r="D86" s="11">
        <v>14.3</v>
      </c>
      <c r="E86" s="11">
        <v>19.899999999999999</v>
      </c>
      <c r="F86" s="11">
        <v>66.3</v>
      </c>
      <c r="G86" s="11">
        <v>80</v>
      </c>
      <c r="H86" s="22">
        <v>2.2000000000000002</v>
      </c>
      <c r="I86" s="11">
        <v>34.6</v>
      </c>
      <c r="J86" s="11">
        <v>28.2</v>
      </c>
      <c r="K86" s="11">
        <v>31.5</v>
      </c>
      <c r="L86" s="14">
        <v>4.2</v>
      </c>
      <c r="M86" s="20">
        <v>5532</v>
      </c>
      <c r="N86" s="2">
        <v>117.93401015228426</v>
      </c>
      <c r="O86" s="2">
        <v>239.51546391752578</v>
      </c>
      <c r="P86" s="15">
        <v>-0.37446735247277579</v>
      </c>
      <c r="Q86" s="11">
        <v>62.2</v>
      </c>
      <c r="R86" s="11">
        <v>6.5</v>
      </c>
      <c r="S86" s="11">
        <v>2.7</v>
      </c>
      <c r="T86" s="11">
        <v>7.2</v>
      </c>
      <c r="U86" s="11">
        <v>14.4</v>
      </c>
      <c r="V86" s="11">
        <v>23.8</v>
      </c>
      <c r="W86" s="2">
        <v>16.702372393961181</v>
      </c>
      <c r="X86" s="11">
        <v>15.5</v>
      </c>
      <c r="Y86" s="20">
        <v>35284</v>
      </c>
      <c r="Z86" s="2">
        <v>7.1574245224892179</v>
      </c>
      <c r="AA86" s="2">
        <v>2.4143198586719317</v>
      </c>
      <c r="AB86" s="11">
        <v>26.4</v>
      </c>
      <c r="AC86" s="11">
        <v>78.5</v>
      </c>
      <c r="AD86" s="11">
        <v>32.5</v>
      </c>
      <c r="AE86" s="11">
        <v>48.4</v>
      </c>
      <c r="AF86" s="11">
        <v>38.200000000000003</v>
      </c>
      <c r="AG86" s="2">
        <v>421</v>
      </c>
      <c r="AH86" s="12" t="s">
        <v>134</v>
      </c>
      <c r="AI86" s="12" t="s">
        <v>134</v>
      </c>
      <c r="AJ86" s="2">
        <v>2112.090909090909</v>
      </c>
      <c r="AK86" s="2">
        <v>7744.333333333333</v>
      </c>
      <c r="AL86" s="11">
        <v>60.9</v>
      </c>
      <c r="AM86" s="11">
        <v>36.700000000000003</v>
      </c>
      <c r="AN86" s="2">
        <v>1290.7222222222222</v>
      </c>
      <c r="AO86" s="2">
        <v>2112.090909090909</v>
      </c>
      <c r="AP86" s="2">
        <v>2581.4444444444443</v>
      </c>
      <c r="AQ86" s="2">
        <v>11616.5</v>
      </c>
      <c r="AR86" s="2">
        <v>334</v>
      </c>
      <c r="AS86" s="2">
        <v>5.5094047260362418</v>
      </c>
    </row>
    <row r="87" spans="1:45" ht="13.5" x14ac:dyDescent="0.2">
      <c r="A87" s="1" t="s">
        <v>85</v>
      </c>
      <c r="B87" s="2">
        <v>29237</v>
      </c>
      <c r="C87" s="11">
        <v>15.8</v>
      </c>
      <c r="D87" s="11">
        <v>10</v>
      </c>
      <c r="E87" s="11">
        <v>49.5</v>
      </c>
      <c r="F87" s="11">
        <v>68.599999999999994</v>
      </c>
      <c r="G87" s="11">
        <v>87.3</v>
      </c>
      <c r="H87" s="22">
        <v>1.7</v>
      </c>
      <c r="I87" s="11">
        <v>61.8</v>
      </c>
      <c r="J87" s="11">
        <v>15.6</v>
      </c>
      <c r="K87" s="11">
        <v>29.1</v>
      </c>
      <c r="L87" s="14">
        <v>4</v>
      </c>
      <c r="M87" s="20">
        <v>7309</v>
      </c>
      <c r="N87" s="2">
        <v>94.312903225806451</v>
      </c>
      <c r="O87" s="2">
        <v>133.50228310502283</v>
      </c>
      <c r="P87" s="15">
        <v>1.0774019222218423</v>
      </c>
      <c r="Q87" s="11">
        <v>56.4</v>
      </c>
      <c r="R87" s="11">
        <v>8.5</v>
      </c>
      <c r="S87" s="11">
        <v>3.9</v>
      </c>
      <c r="T87" s="11">
        <v>12.4</v>
      </c>
      <c r="U87" s="11">
        <v>17.2</v>
      </c>
      <c r="V87" s="11">
        <v>32.5</v>
      </c>
      <c r="W87" s="2">
        <v>11.024509803921569</v>
      </c>
      <c r="X87" s="11">
        <v>18.8</v>
      </c>
      <c r="Y87" s="20">
        <v>27531</v>
      </c>
      <c r="Z87" s="2">
        <v>17.633896260554884</v>
      </c>
      <c r="AA87" s="2">
        <v>1.9698827651259938</v>
      </c>
      <c r="AB87" s="11">
        <v>1.8</v>
      </c>
      <c r="AC87" s="11">
        <v>57.5</v>
      </c>
      <c r="AD87" s="11">
        <v>29.2</v>
      </c>
      <c r="AE87" s="11">
        <v>8.5</v>
      </c>
      <c r="AF87" s="11">
        <v>33.700000000000003</v>
      </c>
      <c r="AG87" s="2">
        <v>517</v>
      </c>
      <c r="AH87" s="2">
        <v>3713</v>
      </c>
      <c r="AI87" s="2">
        <v>3749</v>
      </c>
      <c r="AJ87" s="2">
        <v>1827.3125</v>
      </c>
      <c r="AK87" s="2">
        <v>14618.5</v>
      </c>
      <c r="AL87" s="11">
        <v>67.5</v>
      </c>
      <c r="AM87" s="11">
        <v>26</v>
      </c>
      <c r="AN87" s="2">
        <v>177.19393939393939</v>
      </c>
      <c r="AO87" s="2">
        <v>1169.48</v>
      </c>
      <c r="AP87" s="2">
        <v>423.72463768115944</v>
      </c>
      <c r="AQ87" s="2">
        <v>2657.909090909091</v>
      </c>
      <c r="AR87" s="2">
        <v>186</v>
      </c>
      <c r="AS87" s="2">
        <v>12.278961589766391</v>
      </c>
    </row>
    <row r="88" spans="1:45" ht="13.5" x14ac:dyDescent="0.2">
      <c r="A88" s="1" t="s">
        <v>86</v>
      </c>
      <c r="B88" s="2">
        <v>1821</v>
      </c>
      <c r="C88" s="11">
        <v>24.9</v>
      </c>
      <c r="D88" s="11">
        <v>14.7</v>
      </c>
      <c r="E88" s="11">
        <v>34.299999999999997</v>
      </c>
      <c r="F88" s="11">
        <v>50.5</v>
      </c>
      <c r="G88" s="11">
        <v>71</v>
      </c>
      <c r="H88" s="22">
        <v>2.2000000000000002</v>
      </c>
      <c r="I88" s="11">
        <v>41.1</v>
      </c>
      <c r="J88" s="11">
        <v>24</v>
      </c>
      <c r="K88" s="11">
        <v>19.5</v>
      </c>
      <c r="L88" s="14">
        <v>10.1</v>
      </c>
      <c r="M88" s="20">
        <v>180</v>
      </c>
      <c r="N88" s="2">
        <v>95.84210526315789</v>
      </c>
      <c r="O88" s="2">
        <v>202.33333333333334</v>
      </c>
      <c r="P88" s="15">
        <v>-1.7572762218561231</v>
      </c>
      <c r="Q88" s="11">
        <v>59.8</v>
      </c>
      <c r="R88" s="11">
        <v>9.9</v>
      </c>
      <c r="S88" s="11">
        <v>5.7</v>
      </c>
      <c r="T88" s="11">
        <v>7.7</v>
      </c>
      <c r="U88" s="11">
        <v>19.5</v>
      </c>
      <c r="V88" s="11">
        <v>36.200000000000003</v>
      </c>
      <c r="W88" s="2">
        <v>15.175000000000001</v>
      </c>
      <c r="X88" s="11">
        <v>2.2000000000000002</v>
      </c>
      <c r="Y88" s="20">
        <v>39838</v>
      </c>
      <c r="Z88" s="2">
        <v>4.0738255033557049</v>
      </c>
      <c r="AA88" s="2">
        <v>2.9089456869009584</v>
      </c>
      <c r="AB88" s="11">
        <v>75.599999999999994</v>
      </c>
      <c r="AC88" s="11">
        <v>107.4</v>
      </c>
      <c r="AD88" s="11">
        <v>36.9</v>
      </c>
      <c r="AE88" s="2">
        <v>0</v>
      </c>
      <c r="AF88" s="2">
        <v>0</v>
      </c>
      <c r="AG88" s="2">
        <v>618</v>
      </c>
      <c r="AH88" s="12" t="s">
        <v>134</v>
      </c>
      <c r="AI88" s="12" t="s">
        <v>134</v>
      </c>
      <c r="AJ88" s="12" t="s">
        <v>137</v>
      </c>
      <c r="AK88" s="2">
        <v>1821</v>
      </c>
      <c r="AL88" s="11">
        <v>73.2</v>
      </c>
      <c r="AM88" s="11">
        <v>21.4</v>
      </c>
      <c r="AN88" s="2" t="s">
        <v>137</v>
      </c>
      <c r="AO88" s="2" t="s">
        <v>137</v>
      </c>
      <c r="AP88" s="2" t="s">
        <v>137</v>
      </c>
      <c r="AQ88" s="2" t="s">
        <v>137</v>
      </c>
      <c r="AR88" s="2">
        <v>407</v>
      </c>
      <c r="AS88" s="2">
        <v>79.626578802855576</v>
      </c>
    </row>
    <row r="89" spans="1:45" ht="13.5" x14ac:dyDescent="0.2">
      <c r="A89" s="1" t="s">
        <v>87</v>
      </c>
      <c r="B89" s="2">
        <v>17930</v>
      </c>
      <c r="C89" s="11">
        <v>18.3</v>
      </c>
      <c r="D89" s="11">
        <v>17.8</v>
      </c>
      <c r="E89" s="11">
        <v>31.9</v>
      </c>
      <c r="F89" s="11">
        <v>54.7</v>
      </c>
      <c r="G89" s="11">
        <v>77.8</v>
      </c>
      <c r="H89" s="22">
        <v>1.8</v>
      </c>
      <c r="I89" s="11">
        <v>55.1</v>
      </c>
      <c r="J89" s="11">
        <v>19.2</v>
      </c>
      <c r="K89" s="11">
        <v>26.5</v>
      </c>
      <c r="L89" s="14">
        <v>3.4</v>
      </c>
      <c r="M89" s="20">
        <v>5274</v>
      </c>
      <c r="N89" s="2">
        <v>114.20382165605096</v>
      </c>
      <c r="O89" s="2">
        <v>83.395348837209298</v>
      </c>
      <c r="P89" s="15">
        <v>1.2381483547127718</v>
      </c>
      <c r="Q89" s="11">
        <v>62</v>
      </c>
      <c r="R89" s="11">
        <v>7.8</v>
      </c>
      <c r="S89" s="11">
        <v>4.5</v>
      </c>
      <c r="T89" s="11">
        <v>7.1</v>
      </c>
      <c r="U89" s="11">
        <v>13.7</v>
      </c>
      <c r="V89" s="11">
        <v>25.3</v>
      </c>
      <c r="W89" s="2">
        <v>15.483592400690846</v>
      </c>
      <c r="X89" s="11">
        <v>8.1999999999999993</v>
      </c>
      <c r="Y89" s="20">
        <v>31206</v>
      </c>
      <c r="Z89" s="2">
        <v>8.7935262383521327</v>
      </c>
      <c r="AA89" s="2">
        <v>2.0680507497116491</v>
      </c>
      <c r="AB89" s="11">
        <v>15.6</v>
      </c>
      <c r="AC89" s="11">
        <v>69.2</v>
      </c>
      <c r="AD89" s="11">
        <v>33.4</v>
      </c>
      <c r="AE89" s="11">
        <v>8.1</v>
      </c>
      <c r="AF89" s="11">
        <v>54.1</v>
      </c>
      <c r="AG89" s="2">
        <v>521</v>
      </c>
      <c r="AH89" s="2">
        <v>3605</v>
      </c>
      <c r="AI89" s="2">
        <v>3713</v>
      </c>
      <c r="AJ89" s="2">
        <v>1630</v>
      </c>
      <c r="AK89" s="2">
        <v>17930</v>
      </c>
      <c r="AL89" s="11">
        <v>61.6</v>
      </c>
      <c r="AM89" s="11">
        <v>33.700000000000003</v>
      </c>
      <c r="AN89" s="2">
        <v>1120.625</v>
      </c>
      <c r="AO89" s="2">
        <v>1379.2307692307693</v>
      </c>
      <c r="AP89" s="2">
        <v>4482.5</v>
      </c>
      <c r="AQ89" s="2">
        <v>8965</v>
      </c>
      <c r="AR89" s="2">
        <v>310</v>
      </c>
      <c r="AS89" s="2">
        <v>5.0752928053541551</v>
      </c>
    </row>
    <row r="90" spans="1:45" ht="13.5" x14ac:dyDescent="0.2">
      <c r="A90" s="1" t="s">
        <v>88</v>
      </c>
      <c r="B90" s="2">
        <v>3243</v>
      </c>
      <c r="C90" s="11">
        <v>18.899999999999999</v>
      </c>
      <c r="D90" s="11">
        <v>19.2</v>
      </c>
      <c r="E90" s="11">
        <v>19.3</v>
      </c>
      <c r="F90" s="11">
        <v>41.2</v>
      </c>
      <c r="G90" s="11">
        <v>59.2</v>
      </c>
      <c r="H90" s="22">
        <v>2.1</v>
      </c>
      <c r="I90" s="11">
        <v>42.4</v>
      </c>
      <c r="J90" s="11">
        <v>22.1</v>
      </c>
      <c r="K90" s="11">
        <v>18.8</v>
      </c>
      <c r="L90" s="14">
        <v>2.2000000000000002</v>
      </c>
      <c r="M90" s="20">
        <v>1474</v>
      </c>
      <c r="N90" s="2">
        <v>111.82758620689656</v>
      </c>
      <c r="O90" s="2">
        <v>129.72</v>
      </c>
      <c r="P90" s="15">
        <v>-4.4403330249768729</v>
      </c>
      <c r="Q90" s="11">
        <v>62.5</v>
      </c>
      <c r="R90" s="11">
        <v>6.3</v>
      </c>
      <c r="S90" s="11">
        <v>3.3</v>
      </c>
      <c r="T90" s="11">
        <v>6</v>
      </c>
      <c r="U90" s="11">
        <v>8.9</v>
      </c>
      <c r="V90" s="11">
        <v>22.2</v>
      </c>
      <c r="W90" s="2">
        <v>27.717948717948719</v>
      </c>
      <c r="X90" s="11">
        <v>1.1000000000000001</v>
      </c>
      <c r="Y90" s="20">
        <v>46660</v>
      </c>
      <c r="Z90" s="2">
        <v>4.1102661596958177</v>
      </c>
      <c r="AA90" s="2">
        <v>2.3247311827956989</v>
      </c>
      <c r="AB90" s="11">
        <v>52.7</v>
      </c>
      <c r="AC90" s="11">
        <v>97.6</v>
      </c>
      <c r="AD90" s="11">
        <v>42</v>
      </c>
      <c r="AE90" s="11">
        <v>0.4</v>
      </c>
      <c r="AF90" s="11">
        <v>100</v>
      </c>
      <c r="AG90" s="2">
        <v>480</v>
      </c>
      <c r="AH90" s="2">
        <v>3983</v>
      </c>
      <c r="AI90" s="12" t="s">
        <v>134</v>
      </c>
      <c r="AJ90" s="2">
        <v>3243</v>
      </c>
      <c r="AK90" s="2">
        <v>3243</v>
      </c>
      <c r="AL90" s="11">
        <v>44.5</v>
      </c>
      <c r="AM90" s="11">
        <v>52</v>
      </c>
      <c r="AN90" s="2" t="s">
        <v>137</v>
      </c>
      <c r="AO90" s="2" t="s">
        <v>137</v>
      </c>
      <c r="AP90" s="2" t="s">
        <v>137</v>
      </c>
      <c r="AQ90" s="2" t="s">
        <v>137</v>
      </c>
      <c r="AR90" s="2">
        <v>468</v>
      </c>
      <c r="AS90" s="2">
        <v>17.884674683934627</v>
      </c>
    </row>
    <row r="91" spans="1:45" ht="13.5" x14ac:dyDescent="0.2">
      <c r="A91" s="1" t="s">
        <v>89</v>
      </c>
      <c r="B91" s="2">
        <v>4075</v>
      </c>
      <c r="C91" s="11">
        <v>16.899999999999999</v>
      </c>
      <c r="D91" s="11">
        <v>25.6</v>
      </c>
      <c r="E91" s="11">
        <v>15.8</v>
      </c>
      <c r="F91" s="11">
        <v>40.299999999999997</v>
      </c>
      <c r="G91" s="11">
        <v>57.2</v>
      </c>
      <c r="H91" s="22">
        <v>2</v>
      </c>
      <c r="I91" s="11">
        <v>42.5</v>
      </c>
      <c r="J91" s="11">
        <v>20.7</v>
      </c>
      <c r="K91" s="11">
        <v>26</v>
      </c>
      <c r="L91" s="14">
        <v>0.8</v>
      </c>
      <c r="M91" s="20">
        <v>5094</v>
      </c>
      <c r="N91" s="2">
        <v>127.34375</v>
      </c>
      <c r="O91" s="2">
        <v>119.85294117647059</v>
      </c>
      <c r="P91" s="15">
        <v>0.56441717791411039</v>
      </c>
      <c r="Q91" s="11">
        <v>64</v>
      </c>
      <c r="R91" s="11">
        <v>4.0999999999999996</v>
      </c>
      <c r="S91" s="11" t="s">
        <v>134</v>
      </c>
      <c r="T91" s="11">
        <v>2.8</v>
      </c>
      <c r="U91" s="11">
        <v>6.4</v>
      </c>
      <c r="V91" s="11">
        <v>11.7</v>
      </c>
      <c r="W91" s="2">
        <v>32.086614173228348</v>
      </c>
      <c r="X91" s="11">
        <v>4.4000000000000004</v>
      </c>
      <c r="Y91" s="20">
        <v>41706</v>
      </c>
      <c r="Z91" s="2">
        <v>3.3901830282861898</v>
      </c>
      <c r="AA91" s="2">
        <v>2.1481286241433843</v>
      </c>
      <c r="AB91" s="11">
        <v>59.1</v>
      </c>
      <c r="AC91" s="11">
        <v>86.5</v>
      </c>
      <c r="AD91" s="11">
        <v>40.299999999999997</v>
      </c>
      <c r="AE91" s="11">
        <v>8.1</v>
      </c>
      <c r="AF91" s="11">
        <v>77.3</v>
      </c>
      <c r="AG91" s="2">
        <v>491</v>
      </c>
      <c r="AH91" s="2">
        <v>3867</v>
      </c>
      <c r="AI91" s="12" t="s">
        <v>134</v>
      </c>
      <c r="AJ91" s="2">
        <v>4075</v>
      </c>
      <c r="AK91" s="2" t="s">
        <v>145</v>
      </c>
      <c r="AL91" s="11">
        <v>45.5</v>
      </c>
      <c r="AM91" s="11">
        <v>48.2</v>
      </c>
      <c r="AN91" s="2">
        <f ca="1">-AN91</f>
        <v>0</v>
      </c>
      <c r="AO91" s="2" t="s">
        <v>137</v>
      </c>
      <c r="AP91" s="2" t="s">
        <v>137</v>
      </c>
      <c r="AQ91" s="2">
        <v>4075</v>
      </c>
      <c r="AR91" s="2">
        <v>442</v>
      </c>
      <c r="AS91" s="2">
        <v>7.6073619631901837</v>
      </c>
    </row>
    <row r="92" spans="1:45" ht="13.5" x14ac:dyDescent="0.2">
      <c r="A92" s="1" t="s">
        <v>90</v>
      </c>
      <c r="B92" s="2">
        <v>4329</v>
      </c>
      <c r="C92" s="11">
        <v>23.6</v>
      </c>
      <c r="D92" s="11">
        <v>15.2</v>
      </c>
      <c r="E92" s="11">
        <v>29.2</v>
      </c>
      <c r="F92" s="11">
        <v>52.1</v>
      </c>
      <c r="G92" s="11">
        <v>75.7</v>
      </c>
      <c r="H92" s="22">
        <v>2.2000000000000002</v>
      </c>
      <c r="I92" s="11">
        <v>41</v>
      </c>
      <c r="J92" s="11">
        <v>25</v>
      </c>
      <c r="K92" s="11">
        <v>20.8</v>
      </c>
      <c r="L92" s="14">
        <v>2.5</v>
      </c>
      <c r="M92" s="20">
        <v>1732</v>
      </c>
      <c r="N92" s="2">
        <v>108.22499999999999</v>
      </c>
      <c r="O92" s="2">
        <v>188.21739130434781</v>
      </c>
      <c r="P92" s="15">
        <v>-1.2012012012012012</v>
      </c>
      <c r="Q92" s="11">
        <v>59.2</v>
      </c>
      <c r="R92" s="11">
        <v>6.9</v>
      </c>
      <c r="S92" s="11">
        <v>4.5</v>
      </c>
      <c r="T92" s="11">
        <v>4.0999999999999996</v>
      </c>
      <c r="U92" s="11">
        <v>15.9</v>
      </c>
      <c r="V92" s="11">
        <v>31.4</v>
      </c>
      <c r="W92" s="2">
        <v>18.265822784810126</v>
      </c>
      <c r="X92" s="11">
        <v>7.3</v>
      </c>
      <c r="Y92" s="20">
        <v>41479</v>
      </c>
      <c r="Z92" s="2">
        <v>4.7781456953642385</v>
      </c>
      <c r="AA92" s="2">
        <v>2.572192513368984</v>
      </c>
      <c r="AB92" s="11">
        <v>54.5</v>
      </c>
      <c r="AC92" s="11">
        <v>91.3</v>
      </c>
      <c r="AD92" s="11">
        <v>35.5</v>
      </c>
      <c r="AE92" s="11">
        <v>11.8</v>
      </c>
      <c r="AF92" s="11">
        <v>46.2</v>
      </c>
      <c r="AG92" s="2">
        <v>436</v>
      </c>
      <c r="AH92" s="2">
        <v>3439</v>
      </c>
      <c r="AI92" s="2">
        <v>3533</v>
      </c>
      <c r="AJ92" s="2">
        <v>2164.5</v>
      </c>
      <c r="AK92" s="2">
        <v>4329</v>
      </c>
      <c r="AL92" s="11">
        <v>48.2</v>
      </c>
      <c r="AM92" s="11">
        <v>45.1</v>
      </c>
      <c r="AN92" s="2">
        <v>541.125</v>
      </c>
      <c r="AO92" s="2">
        <v>1443</v>
      </c>
      <c r="AP92" s="2">
        <v>1082.25</v>
      </c>
      <c r="AQ92" s="2" t="s">
        <v>137</v>
      </c>
      <c r="AR92" s="2">
        <v>392</v>
      </c>
      <c r="AS92" s="2">
        <v>15.708015708015708</v>
      </c>
    </row>
    <row r="93" spans="1:45" ht="13.5" x14ac:dyDescent="0.2">
      <c r="A93" s="1" t="s">
        <v>91</v>
      </c>
      <c r="B93" s="2">
        <v>9290</v>
      </c>
      <c r="C93" s="11">
        <v>17.2</v>
      </c>
      <c r="D93" s="11">
        <v>25.1</v>
      </c>
      <c r="E93" s="11">
        <v>17.100000000000001</v>
      </c>
      <c r="F93" s="11">
        <v>37.5</v>
      </c>
      <c r="G93" s="11">
        <v>58.3</v>
      </c>
      <c r="H93" s="22">
        <v>2</v>
      </c>
      <c r="I93" s="11">
        <v>44.9</v>
      </c>
      <c r="J93" s="11">
        <v>19.600000000000001</v>
      </c>
      <c r="K93" s="11">
        <v>22.9</v>
      </c>
      <c r="L93" s="14">
        <v>5.8</v>
      </c>
      <c r="M93" s="20">
        <v>1602</v>
      </c>
      <c r="N93" s="2">
        <v>113.29268292682927</v>
      </c>
      <c r="O93" s="2">
        <v>91.980198019801975</v>
      </c>
      <c r="P93" s="15">
        <v>0.66738428417653395</v>
      </c>
      <c r="Q93" s="11">
        <v>63.5</v>
      </c>
      <c r="R93" s="11">
        <v>4.9000000000000004</v>
      </c>
      <c r="S93" s="11">
        <v>3</v>
      </c>
      <c r="T93" s="11">
        <v>3.5</v>
      </c>
      <c r="U93" s="11">
        <v>6.4</v>
      </c>
      <c r="V93" s="11">
        <v>11.5</v>
      </c>
      <c r="W93" s="2">
        <v>32.596491228070178</v>
      </c>
      <c r="X93" s="11">
        <v>3.9</v>
      </c>
      <c r="Y93" s="20">
        <v>45209</v>
      </c>
      <c r="Z93" s="2">
        <v>4.0426457789382075</v>
      </c>
      <c r="AA93" s="2">
        <v>2.0838941229250785</v>
      </c>
      <c r="AB93" s="11">
        <v>47.9</v>
      </c>
      <c r="AC93" s="11">
        <v>89.7</v>
      </c>
      <c r="AD93" s="11">
        <v>43</v>
      </c>
      <c r="AE93" s="11">
        <v>4.3</v>
      </c>
      <c r="AF93" s="11">
        <v>3.2</v>
      </c>
      <c r="AG93" s="2">
        <v>544</v>
      </c>
      <c r="AH93" s="2">
        <v>3690</v>
      </c>
      <c r="AI93" s="2">
        <v>3258</v>
      </c>
      <c r="AJ93" s="2">
        <v>2322.5</v>
      </c>
      <c r="AK93" s="2">
        <v>4645</v>
      </c>
      <c r="AL93" s="11">
        <v>40.9</v>
      </c>
      <c r="AM93" s="11">
        <v>52.2</v>
      </c>
      <c r="AN93" s="2">
        <v>1327.1428571428571</v>
      </c>
      <c r="AO93" s="2">
        <v>2322.5</v>
      </c>
      <c r="AP93" s="2">
        <v>1548.3333333333333</v>
      </c>
      <c r="AQ93" s="2">
        <v>9290</v>
      </c>
      <c r="AR93" s="2">
        <v>426</v>
      </c>
      <c r="AS93" s="2">
        <v>14.208826695371368</v>
      </c>
    </row>
    <row r="94" spans="1:45" ht="13.5" x14ac:dyDescent="0.2">
      <c r="A94" s="1" t="s">
        <v>92</v>
      </c>
      <c r="B94" s="2">
        <v>25557</v>
      </c>
      <c r="C94" s="11">
        <v>17.7</v>
      </c>
      <c r="D94" s="11">
        <v>19.100000000000001</v>
      </c>
      <c r="E94" s="11">
        <v>24.7</v>
      </c>
      <c r="F94" s="11">
        <v>47.8</v>
      </c>
      <c r="G94" s="11">
        <v>66.5</v>
      </c>
      <c r="H94" s="22">
        <v>1.9</v>
      </c>
      <c r="I94" s="11">
        <v>50.8</v>
      </c>
      <c r="J94" s="11">
        <v>19.7</v>
      </c>
      <c r="K94" s="11">
        <v>24.3</v>
      </c>
      <c r="L94" s="14">
        <v>8.3000000000000007</v>
      </c>
      <c r="M94" s="20">
        <v>3079</v>
      </c>
      <c r="N94" s="2">
        <v>113.08407079646018</v>
      </c>
      <c r="O94" s="2">
        <v>104.31428571428572</v>
      </c>
      <c r="P94" s="15">
        <v>0.30128731854286495</v>
      </c>
      <c r="Q94" s="11">
        <v>62.5</v>
      </c>
      <c r="R94" s="11">
        <v>6.1</v>
      </c>
      <c r="S94" s="11">
        <v>3.1</v>
      </c>
      <c r="T94" s="11">
        <v>6.4</v>
      </c>
      <c r="U94" s="11">
        <v>9.6</v>
      </c>
      <c r="V94" s="11">
        <v>17.3</v>
      </c>
      <c r="W94" s="2">
        <v>20.744318181818183</v>
      </c>
      <c r="X94" s="11">
        <v>7.5</v>
      </c>
      <c r="Y94" s="20">
        <v>41611</v>
      </c>
      <c r="Z94" s="2">
        <v>5.9173419773095626</v>
      </c>
      <c r="AA94" s="2">
        <v>2.0122037634831904</v>
      </c>
      <c r="AB94" s="11">
        <v>28</v>
      </c>
      <c r="AC94" s="11">
        <v>78.599999999999994</v>
      </c>
      <c r="AD94" s="11">
        <v>39.1</v>
      </c>
      <c r="AE94" s="11">
        <v>4.4000000000000004</v>
      </c>
      <c r="AF94" s="11">
        <v>36.299999999999997</v>
      </c>
      <c r="AG94" s="2">
        <v>550</v>
      </c>
      <c r="AH94" s="2">
        <v>3648</v>
      </c>
      <c r="AI94" s="2">
        <v>3807</v>
      </c>
      <c r="AJ94" s="2">
        <v>2555.6999999999998</v>
      </c>
      <c r="AK94" s="2">
        <v>8519</v>
      </c>
      <c r="AL94" s="11">
        <v>51.4</v>
      </c>
      <c r="AM94" s="11">
        <v>42.7</v>
      </c>
      <c r="AN94" s="2">
        <v>1345.1052631578948</v>
      </c>
      <c r="AO94" s="2">
        <v>2129.75</v>
      </c>
      <c r="AP94" s="2">
        <v>4259.5</v>
      </c>
      <c r="AQ94" s="2">
        <v>12778.5</v>
      </c>
      <c r="AR94" s="2">
        <v>356</v>
      </c>
      <c r="AS94" s="2">
        <v>7.3952341824157761</v>
      </c>
    </row>
    <row r="95" spans="1:45" ht="13.5" x14ac:dyDescent="0.2">
      <c r="A95" s="1" t="s">
        <v>93</v>
      </c>
      <c r="B95" s="2">
        <v>22995</v>
      </c>
      <c r="C95" s="11">
        <v>17.8</v>
      </c>
      <c r="D95" s="11">
        <v>14.9</v>
      </c>
      <c r="E95" s="11">
        <v>30.9</v>
      </c>
      <c r="F95" s="11">
        <v>53.3</v>
      </c>
      <c r="G95" s="11">
        <v>71.599999999999994</v>
      </c>
      <c r="H95" s="22">
        <v>1.8</v>
      </c>
      <c r="I95" s="11">
        <v>55.9</v>
      </c>
      <c r="J95" s="11">
        <v>18.8</v>
      </c>
      <c r="K95" s="11">
        <v>28</v>
      </c>
      <c r="L95" s="14">
        <v>13</v>
      </c>
      <c r="M95" s="20">
        <v>1769</v>
      </c>
      <c r="N95" s="2">
        <v>87.433460076045634</v>
      </c>
      <c r="O95" s="2">
        <v>89.127906976744185</v>
      </c>
      <c r="P95" s="15">
        <v>0.94803218090889319</v>
      </c>
      <c r="Q95" s="11">
        <v>61.7</v>
      </c>
      <c r="R95" s="11">
        <v>7.1</v>
      </c>
      <c r="S95" s="11">
        <v>3.5</v>
      </c>
      <c r="T95" s="11">
        <v>6.4</v>
      </c>
      <c r="U95" s="11">
        <v>12.3</v>
      </c>
      <c r="V95" s="11">
        <v>23.6</v>
      </c>
      <c r="W95" s="2">
        <v>16.555075593952484</v>
      </c>
      <c r="X95" s="11">
        <v>11.2</v>
      </c>
      <c r="Y95" s="20">
        <v>37015</v>
      </c>
      <c r="Z95" s="2">
        <v>8.9300970873786412</v>
      </c>
      <c r="AA95" s="2">
        <v>2.0703160169262627</v>
      </c>
      <c r="AB95" s="11">
        <v>14.3</v>
      </c>
      <c r="AC95" s="11">
        <v>70.900000000000006</v>
      </c>
      <c r="AD95" s="11">
        <v>34.200000000000003</v>
      </c>
      <c r="AE95" s="11">
        <v>16.100000000000001</v>
      </c>
      <c r="AF95" s="11">
        <v>10.9</v>
      </c>
      <c r="AG95" s="2">
        <v>499</v>
      </c>
      <c r="AH95" s="2">
        <v>3297</v>
      </c>
      <c r="AI95" s="2">
        <v>3967</v>
      </c>
      <c r="AJ95" s="2">
        <v>2555</v>
      </c>
      <c r="AK95" s="2">
        <v>11497.5</v>
      </c>
      <c r="AL95" s="11">
        <v>46.4</v>
      </c>
      <c r="AM95" s="11">
        <v>39.799999999999997</v>
      </c>
      <c r="AN95" s="2">
        <v>511</v>
      </c>
      <c r="AO95" s="2">
        <v>2874.375</v>
      </c>
      <c r="AP95" s="2">
        <v>2090.4545454545455</v>
      </c>
      <c r="AQ95" s="2">
        <v>11497.5</v>
      </c>
      <c r="AR95" s="2">
        <v>282</v>
      </c>
      <c r="AS95" s="2">
        <v>11.263318112633181</v>
      </c>
    </row>
    <row r="96" spans="1:45" ht="13.5" x14ac:dyDescent="0.2">
      <c r="A96" s="1" t="s">
        <v>103</v>
      </c>
      <c r="B96" s="2">
        <v>729</v>
      </c>
      <c r="C96" s="11">
        <v>21.7</v>
      </c>
      <c r="D96" s="11">
        <v>15.6</v>
      </c>
      <c r="E96" s="11">
        <v>14.1</v>
      </c>
      <c r="F96" s="11">
        <v>23.2</v>
      </c>
      <c r="G96" s="11">
        <v>32.5</v>
      </c>
      <c r="H96" s="22">
        <v>1.9</v>
      </c>
      <c r="I96" s="11">
        <v>53.8</v>
      </c>
      <c r="J96" s="11">
        <v>21.4</v>
      </c>
      <c r="K96" s="11">
        <v>38.1</v>
      </c>
      <c r="L96" s="14">
        <v>16.7</v>
      </c>
      <c r="M96" s="20">
        <v>44</v>
      </c>
      <c r="N96" s="2">
        <v>121.5</v>
      </c>
      <c r="O96" s="2">
        <v>91.125</v>
      </c>
      <c r="P96" s="15">
        <v>1.2345679012345678</v>
      </c>
      <c r="Q96" s="12" t="s">
        <v>134</v>
      </c>
      <c r="R96" s="12" t="s">
        <v>134</v>
      </c>
      <c r="S96" s="12" t="s">
        <v>134</v>
      </c>
      <c r="T96" s="12" t="s">
        <v>134</v>
      </c>
      <c r="U96" s="11">
        <v>13.9</v>
      </c>
      <c r="V96" s="11">
        <v>28.8</v>
      </c>
      <c r="W96" s="2">
        <v>19.702702702702702</v>
      </c>
      <c r="X96" s="2">
        <v>2.6</v>
      </c>
      <c r="Y96" s="20">
        <v>82753</v>
      </c>
      <c r="Z96" s="2">
        <v>3.5388349514563107</v>
      </c>
      <c r="AA96" s="2">
        <v>2.3216560509554141</v>
      </c>
      <c r="AB96" s="11">
        <v>69.400000000000006</v>
      </c>
      <c r="AC96" s="11">
        <v>98.2</v>
      </c>
      <c r="AD96" s="11">
        <v>42.3</v>
      </c>
      <c r="AE96" s="2">
        <v>0</v>
      </c>
      <c r="AF96" s="2">
        <v>0</v>
      </c>
      <c r="AG96" s="2">
        <v>596</v>
      </c>
      <c r="AH96" s="12" t="s">
        <v>134</v>
      </c>
      <c r="AI96" s="12" t="s">
        <v>134</v>
      </c>
      <c r="AJ96" s="2">
        <v>729</v>
      </c>
      <c r="AK96" s="2" t="s">
        <v>137</v>
      </c>
      <c r="AL96" s="11">
        <v>53</v>
      </c>
      <c r="AM96" s="11">
        <v>18.2</v>
      </c>
      <c r="AN96" s="2" t="s">
        <v>137</v>
      </c>
      <c r="AO96" s="2" t="s">
        <v>137</v>
      </c>
      <c r="AP96" s="2" t="s">
        <v>137</v>
      </c>
      <c r="AQ96" s="2" t="s">
        <v>137</v>
      </c>
      <c r="AR96" s="2">
        <v>495</v>
      </c>
      <c r="AS96" s="2">
        <v>39.780521262002743</v>
      </c>
    </row>
    <row r="97" spans="1:47" ht="13.5" x14ac:dyDescent="0.2">
      <c r="A97" s="1" t="s">
        <v>94</v>
      </c>
      <c r="B97" s="2">
        <v>16919</v>
      </c>
      <c r="C97" s="11">
        <v>18.600000000000001</v>
      </c>
      <c r="D97" s="11">
        <v>21.9</v>
      </c>
      <c r="E97" s="11">
        <v>19.899999999999999</v>
      </c>
      <c r="F97" s="11">
        <v>57.8</v>
      </c>
      <c r="G97" s="11">
        <v>73</v>
      </c>
      <c r="H97" s="22">
        <v>2.1</v>
      </c>
      <c r="I97" s="11">
        <v>41.2</v>
      </c>
      <c r="J97" s="11">
        <v>22.7</v>
      </c>
      <c r="K97" s="11">
        <v>26.6</v>
      </c>
      <c r="L97" s="14">
        <v>9.8000000000000007</v>
      </c>
      <c r="M97" s="20">
        <v>1726</v>
      </c>
      <c r="N97" s="2">
        <v>122.60144927536231</v>
      </c>
      <c r="O97" s="2">
        <v>88.581151832460733</v>
      </c>
      <c r="P97" s="15">
        <v>0.10047875169927301</v>
      </c>
      <c r="Q97" s="11">
        <v>61.2</v>
      </c>
      <c r="R97" s="11">
        <v>7.6</v>
      </c>
      <c r="S97" s="11">
        <v>3.5</v>
      </c>
      <c r="T97" s="11">
        <v>6.5</v>
      </c>
      <c r="U97" s="11">
        <v>13.3</v>
      </c>
      <c r="V97" s="11">
        <v>23.2</v>
      </c>
      <c r="W97" s="2">
        <v>16.006622516556291</v>
      </c>
      <c r="X97" s="11">
        <v>12.3</v>
      </c>
      <c r="Y97" s="20">
        <v>38898</v>
      </c>
      <c r="Z97" s="2">
        <v>5.5200652528548124</v>
      </c>
      <c r="AA97" s="2">
        <v>2.2707019192054756</v>
      </c>
      <c r="AB97" s="11">
        <v>36.6</v>
      </c>
      <c r="AC97" s="11">
        <v>85.2</v>
      </c>
      <c r="AD97" s="11">
        <v>37.5</v>
      </c>
      <c r="AE97" s="11">
        <v>13.8</v>
      </c>
      <c r="AF97" s="11">
        <v>38.4</v>
      </c>
      <c r="AG97" s="2">
        <v>416</v>
      </c>
      <c r="AH97" s="2">
        <v>3749</v>
      </c>
      <c r="AI97" s="2">
        <v>3361</v>
      </c>
      <c r="AJ97" s="2">
        <v>1879.8888888888889</v>
      </c>
      <c r="AK97" s="2">
        <v>16919</v>
      </c>
      <c r="AL97" s="11">
        <v>57.8</v>
      </c>
      <c r="AM97" s="11">
        <v>32.5</v>
      </c>
      <c r="AN97" s="2">
        <v>1127.9333333333334</v>
      </c>
      <c r="AO97" s="2">
        <v>5639.666666666667</v>
      </c>
      <c r="AP97" s="2">
        <v>1691.9</v>
      </c>
      <c r="AQ97" s="2">
        <v>8459.5</v>
      </c>
      <c r="AR97" s="2">
        <v>366</v>
      </c>
      <c r="AS97" s="2">
        <v>8.8657722087593829</v>
      </c>
    </row>
    <row r="98" spans="1:47" ht="13.5" x14ac:dyDescent="0.2">
      <c r="A98" s="1" t="s">
        <v>95</v>
      </c>
      <c r="B98" s="2">
        <v>35295</v>
      </c>
      <c r="C98" s="11">
        <v>22.1</v>
      </c>
      <c r="D98" s="11">
        <v>18.2</v>
      </c>
      <c r="E98" s="11">
        <v>22.7</v>
      </c>
      <c r="F98" s="11">
        <v>53.1</v>
      </c>
      <c r="G98" s="11">
        <v>68</v>
      </c>
      <c r="H98" s="22">
        <v>2.2000000000000002</v>
      </c>
      <c r="I98" s="11">
        <v>40.299999999999997</v>
      </c>
      <c r="J98" s="11">
        <v>26.1</v>
      </c>
      <c r="K98" s="11">
        <v>24.7</v>
      </c>
      <c r="L98" s="14">
        <v>22.5</v>
      </c>
      <c r="M98" s="20">
        <v>1569</v>
      </c>
      <c r="N98" s="2">
        <v>102.90087463556851</v>
      </c>
      <c r="O98" s="2">
        <v>118.43959731543625</v>
      </c>
      <c r="P98" s="15">
        <v>2.3431080889644424</v>
      </c>
      <c r="Q98" s="11">
        <v>60.9</v>
      </c>
      <c r="R98" s="11">
        <v>7.8</v>
      </c>
      <c r="S98" s="11">
        <v>4.4000000000000004</v>
      </c>
      <c r="T98" s="11">
        <v>7</v>
      </c>
      <c r="U98" s="11">
        <v>13.4</v>
      </c>
      <c r="V98" s="11">
        <v>21</v>
      </c>
      <c r="W98" s="2">
        <v>16.539362699156513</v>
      </c>
      <c r="X98" s="11">
        <v>10.8</v>
      </c>
      <c r="Y98" s="20">
        <v>40723</v>
      </c>
      <c r="Z98" s="2">
        <v>5.3275471698113206</v>
      </c>
      <c r="AA98" s="2">
        <v>2.3018978673449424</v>
      </c>
      <c r="AB98" s="11">
        <v>38.700000000000003</v>
      </c>
      <c r="AC98" s="11">
        <v>86.3</v>
      </c>
      <c r="AD98" s="11">
        <v>37.5</v>
      </c>
      <c r="AE98" s="11">
        <v>8.3000000000000007</v>
      </c>
      <c r="AF98" s="11">
        <v>24.6</v>
      </c>
      <c r="AG98" s="2">
        <v>425</v>
      </c>
      <c r="AH98" s="2">
        <v>3433</v>
      </c>
      <c r="AI98" s="2">
        <v>3667</v>
      </c>
      <c r="AJ98" s="2">
        <v>1604.3181818181818</v>
      </c>
      <c r="AK98" s="2">
        <v>7059</v>
      </c>
      <c r="AL98" s="11">
        <v>58.9</v>
      </c>
      <c r="AM98" s="11">
        <v>35.299999999999997</v>
      </c>
      <c r="AN98" s="2">
        <v>720.30612244897964</v>
      </c>
      <c r="AO98" s="2">
        <v>1764.75</v>
      </c>
      <c r="AP98" s="2">
        <v>1764.75</v>
      </c>
      <c r="AQ98" s="2">
        <v>8823.75</v>
      </c>
      <c r="AR98" s="2">
        <v>351</v>
      </c>
      <c r="AS98" s="2">
        <v>8.7264485054540302</v>
      </c>
    </row>
    <row r="99" spans="1:47" ht="13.5" x14ac:dyDescent="0.2">
      <c r="A99" s="1" t="s">
        <v>96</v>
      </c>
      <c r="B99" s="2">
        <v>749</v>
      </c>
      <c r="C99" s="11">
        <v>17</v>
      </c>
      <c r="D99" s="11">
        <v>17.5</v>
      </c>
      <c r="E99" s="11">
        <v>21.1</v>
      </c>
      <c r="F99" s="11">
        <v>27.6</v>
      </c>
      <c r="G99" s="11">
        <v>31.2</v>
      </c>
      <c r="H99" s="22">
        <v>2</v>
      </c>
      <c r="I99" s="11">
        <v>44.5</v>
      </c>
      <c r="J99" s="11">
        <v>19.5</v>
      </c>
      <c r="K99" s="11">
        <v>22.7</v>
      </c>
      <c r="L99" s="14">
        <v>8.8000000000000007</v>
      </c>
      <c r="M99" s="20">
        <v>85</v>
      </c>
      <c r="N99" s="2">
        <v>149.80000000000001</v>
      </c>
      <c r="O99" s="2">
        <v>124.83333333333333</v>
      </c>
      <c r="P99" s="15">
        <v>2.6702269692923899</v>
      </c>
      <c r="Q99" s="12" t="s">
        <v>134</v>
      </c>
      <c r="R99" s="12" t="s">
        <v>134</v>
      </c>
      <c r="S99" s="12" t="s">
        <v>134</v>
      </c>
      <c r="T99" s="12" t="s">
        <v>134</v>
      </c>
      <c r="U99" s="11">
        <v>5.0999999999999996</v>
      </c>
      <c r="V99" s="11">
        <v>6.8</v>
      </c>
      <c r="W99" s="2">
        <v>34.045454545454547</v>
      </c>
      <c r="X99" s="11">
        <v>2.2999999999999998</v>
      </c>
      <c r="Y99" s="20">
        <v>43228</v>
      </c>
      <c r="Z99" s="2">
        <v>3.7828282828282829</v>
      </c>
      <c r="AA99" s="2">
        <v>2.2835365853658538</v>
      </c>
      <c r="AB99" s="11">
        <v>67.099999999999994</v>
      </c>
      <c r="AC99" s="11">
        <v>103.4</v>
      </c>
      <c r="AD99" s="11">
        <v>45.3</v>
      </c>
      <c r="AE99" s="2">
        <v>0</v>
      </c>
      <c r="AF99" s="2">
        <v>0</v>
      </c>
      <c r="AG99" s="2">
        <v>324</v>
      </c>
      <c r="AH99" s="12" t="s">
        <v>134</v>
      </c>
      <c r="AI99" s="12" t="s">
        <v>134</v>
      </c>
      <c r="AJ99" s="12" t="s">
        <v>137</v>
      </c>
      <c r="AK99" s="2" t="s">
        <v>137</v>
      </c>
      <c r="AL99" s="11">
        <v>50</v>
      </c>
      <c r="AM99" s="11">
        <v>46</v>
      </c>
      <c r="AN99" s="2" t="s">
        <v>137</v>
      </c>
      <c r="AO99" s="2" t="s">
        <v>137</v>
      </c>
      <c r="AP99" s="2" t="s">
        <v>137</v>
      </c>
      <c r="AQ99" s="2" t="s">
        <v>137</v>
      </c>
      <c r="AR99" s="2">
        <v>538</v>
      </c>
      <c r="AS99" s="2">
        <v>9.3457943925233646</v>
      </c>
    </row>
    <row r="100" spans="1:47" ht="13.5" x14ac:dyDescent="0.2">
      <c r="A100" s="1" t="s">
        <v>97</v>
      </c>
      <c r="B100" s="2">
        <v>5314</v>
      </c>
      <c r="C100" s="11">
        <v>23.8</v>
      </c>
      <c r="D100" s="11">
        <v>13.9</v>
      </c>
      <c r="E100" s="11">
        <v>34.299999999999997</v>
      </c>
      <c r="F100" s="11">
        <v>54</v>
      </c>
      <c r="G100" s="11">
        <v>68.8</v>
      </c>
      <c r="H100" s="22">
        <v>2.2000000000000002</v>
      </c>
      <c r="I100" s="11">
        <v>44.5</v>
      </c>
      <c r="J100" s="11">
        <v>25</v>
      </c>
      <c r="K100" s="11">
        <v>22.6</v>
      </c>
      <c r="L100" s="14">
        <v>15.7</v>
      </c>
      <c r="M100" s="20">
        <v>339</v>
      </c>
      <c r="N100" s="2">
        <v>94.892857142857139</v>
      </c>
      <c r="O100" s="2">
        <v>221.41666666666666</v>
      </c>
      <c r="P100" s="15">
        <v>1.1855476100865638</v>
      </c>
      <c r="Q100" s="11">
        <v>58.1</v>
      </c>
      <c r="R100" s="11">
        <v>6.9</v>
      </c>
      <c r="S100" s="11">
        <v>2.8</v>
      </c>
      <c r="T100" s="11">
        <v>5</v>
      </c>
      <c r="U100" s="11">
        <v>17.2</v>
      </c>
      <c r="V100" s="11">
        <v>31.9</v>
      </c>
      <c r="W100" s="2">
        <v>17.032051282051281</v>
      </c>
      <c r="X100" s="11">
        <v>2.8</v>
      </c>
      <c r="Y100" s="20">
        <v>41915</v>
      </c>
      <c r="Z100" s="2">
        <v>4.9756554307116101</v>
      </c>
      <c r="AA100" s="2">
        <v>2.6411530815109345</v>
      </c>
      <c r="AB100" s="11">
        <v>58.5</v>
      </c>
      <c r="AC100" s="11">
        <v>92.8</v>
      </c>
      <c r="AD100" s="11">
        <v>35.1</v>
      </c>
      <c r="AE100" s="11">
        <v>15.4</v>
      </c>
      <c r="AF100" s="11">
        <v>73.8</v>
      </c>
      <c r="AG100" s="2">
        <v>307</v>
      </c>
      <c r="AH100" s="2">
        <v>3234</v>
      </c>
      <c r="AI100" s="12" t="s">
        <v>134</v>
      </c>
      <c r="AJ100" s="2">
        <v>1771.3333333333333</v>
      </c>
      <c r="AK100" s="2">
        <v>5314</v>
      </c>
      <c r="AL100" s="11">
        <v>66.2</v>
      </c>
      <c r="AM100" s="11">
        <v>30.3</v>
      </c>
      <c r="AN100" s="2">
        <v>5314</v>
      </c>
      <c r="AO100" s="2">
        <v>5314</v>
      </c>
      <c r="AP100" s="2">
        <v>1328.5</v>
      </c>
      <c r="AQ100" s="2">
        <v>5314</v>
      </c>
      <c r="AR100" s="2">
        <v>398</v>
      </c>
      <c r="AS100" s="2">
        <v>6.9627399322544221</v>
      </c>
    </row>
    <row r="101" spans="1:47" ht="13.5" x14ac:dyDescent="0.2">
      <c r="A101" s="1" t="s">
        <v>98</v>
      </c>
      <c r="B101" s="2">
        <v>858</v>
      </c>
      <c r="C101" s="11">
        <v>17.600000000000001</v>
      </c>
      <c r="D101" s="11">
        <v>18.5</v>
      </c>
      <c r="E101" s="11">
        <v>31</v>
      </c>
      <c r="F101" s="11">
        <v>46</v>
      </c>
      <c r="G101" s="11">
        <v>66.900000000000006</v>
      </c>
      <c r="H101" s="22">
        <v>1.8</v>
      </c>
      <c r="I101" s="11">
        <v>53.7</v>
      </c>
      <c r="J101" s="11">
        <v>18</v>
      </c>
      <c r="K101" s="11">
        <v>24.4</v>
      </c>
      <c r="L101" s="14">
        <v>1.3</v>
      </c>
      <c r="M101" s="20">
        <v>660</v>
      </c>
      <c r="N101" s="2">
        <v>95.333333333333329</v>
      </c>
      <c r="O101" s="2">
        <v>143</v>
      </c>
      <c r="P101" s="15">
        <v>3.3799533799533799</v>
      </c>
      <c r="Q101" s="12" t="s">
        <v>134</v>
      </c>
      <c r="R101" s="12" t="s">
        <v>134</v>
      </c>
      <c r="S101" s="12" t="s">
        <v>134</v>
      </c>
      <c r="T101" s="12" t="s">
        <v>134</v>
      </c>
      <c r="U101" s="11">
        <v>11.1</v>
      </c>
      <c r="V101" s="11">
        <v>26.9</v>
      </c>
      <c r="W101" s="2">
        <v>20.428571428571427</v>
      </c>
      <c r="X101" s="11">
        <v>3.1</v>
      </c>
      <c r="Y101" s="20">
        <v>37350</v>
      </c>
      <c r="Z101" s="2">
        <v>4.8202247191011232</v>
      </c>
      <c r="AA101" s="2">
        <v>2</v>
      </c>
      <c r="AB101" s="11">
        <v>35.200000000000003</v>
      </c>
      <c r="AC101" s="11">
        <v>84.8</v>
      </c>
      <c r="AD101" s="11">
        <v>42.4</v>
      </c>
      <c r="AE101" s="2">
        <v>0</v>
      </c>
      <c r="AF101" s="2">
        <v>0</v>
      </c>
      <c r="AG101" s="2">
        <v>342</v>
      </c>
      <c r="AH101" s="12" t="s">
        <v>134</v>
      </c>
      <c r="AI101" s="12" t="s">
        <v>134</v>
      </c>
      <c r="AJ101" s="2">
        <v>858</v>
      </c>
      <c r="AK101" s="2">
        <v>858</v>
      </c>
      <c r="AL101" s="13" t="s">
        <v>135</v>
      </c>
      <c r="AM101" s="13" t="s">
        <v>135</v>
      </c>
      <c r="AN101" s="2">
        <v>858</v>
      </c>
      <c r="AO101" s="2">
        <v>858</v>
      </c>
      <c r="AP101" s="2" t="s">
        <v>137</v>
      </c>
      <c r="AQ101" s="2" t="s">
        <v>137</v>
      </c>
      <c r="AR101" s="2">
        <v>421</v>
      </c>
      <c r="AS101" s="2">
        <v>4.6620046620046622</v>
      </c>
    </row>
    <row r="102" spans="1:47" ht="13.5" x14ac:dyDescent="0.2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4"/>
      <c r="M102" s="19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20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</row>
    <row r="103" spans="1:47" x14ac:dyDescent="0.2">
      <c r="B103" s="2"/>
      <c r="C103" s="11"/>
      <c r="D103" s="11"/>
      <c r="E103" s="11"/>
      <c r="F103" s="11"/>
      <c r="G103" s="11"/>
      <c r="H103" s="14"/>
      <c r="I103" s="11"/>
      <c r="J103" s="11"/>
      <c r="K103" s="11"/>
      <c r="L103" s="17"/>
      <c r="M103" s="1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x14ac:dyDescent="0.2">
      <c r="B104" s="2"/>
      <c r="C104" s="11"/>
      <c r="D104" s="11"/>
      <c r="E104" s="11"/>
      <c r="F104" s="11"/>
      <c r="G104" s="11"/>
      <c r="H104" s="14"/>
      <c r="I104" s="11"/>
      <c r="J104" s="11"/>
      <c r="K104" s="11"/>
      <c r="L104" s="17"/>
      <c r="M104" s="18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7" x14ac:dyDescent="0.2">
      <c r="B105" s="2"/>
      <c r="C105" s="11"/>
      <c r="D105" s="11"/>
      <c r="E105" s="11"/>
      <c r="F105" s="11"/>
      <c r="G105" s="11"/>
      <c r="H105" s="14"/>
      <c r="I105" s="11"/>
      <c r="J105" s="11"/>
      <c r="K105" s="11"/>
      <c r="L105" s="17"/>
      <c r="M105" s="18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7" x14ac:dyDescent="0.2"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7" x14ac:dyDescent="0.2"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7" x14ac:dyDescent="0.2"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7" x14ac:dyDescent="0.2"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7" x14ac:dyDescent="0.2"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7" x14ac:dyDescent="0.2"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7" x14ac:dyDescent="0.2"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4:45" x14ac:dyDescent="0.2"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4:45" x14ac:dyDescent="0.2"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4:45" x14ac:dyDescent="0.2"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4:45" x14ac:dyDescent="0.2"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4:45" x14ac:dyDescent="0.2"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4:45" x14ac:dyDescent="0.2"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4:45" x14ac:dyDescent="0.2"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4:45" x14ac:dyDescent="0.2"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4:45" x14ac:dyDescent="0.2"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4:45" x14ac:dyDescent="0.2"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4:45" x14ac:dyDescent="0.2"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4:45" x14ac:dyDescent="0.2"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4:45" x14ac:dyDescent="0.2"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4:45" x14ac:dyDescent="0.2"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4:45" x14ac:dyDescent="0.2"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4:45" x14ac:dyDescent="0.2"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4:45" x14ac:dyDescent="0.2"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4:45" x14ac:dyDescent="0.2"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4:45" x14ac:dyDescent="0.2"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4:45" x14ac:dyDescent="0.2"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4:45" x14ac:dyDescent="0.2"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4:45" x14ac:dyDescent="0.2"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4:45" x14ac:dyDescent="0.2"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4:45" x14ac:dyDescent="0.2"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4:45" x14ac:dyDescent="0.2"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4:45" x14ac:dyDescent="0.2"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4:45" x14ac:dyDescent="0.2"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4:45" x14ac:dyDescent="0.2"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4:45" x14ac:dyDescent="0.2"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4:45" x14ac:dyDescent="0.2"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4:45" x14ac:dyDescent="0.2"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4:45" x14ac:dyDescent="0.2"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4:45" x14ac:dyDescent="0.2"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4:45" x14ac:dyDescent="0.2"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4:45" x14ac:dyDescent="0.2"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4:45" x14ac:dyDescent="0.2"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4:45" x14ac:dyDescent="0.2"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4:45" x14ac:dyDescent="0.2"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4:45" x14ac:dyDescent="0.2"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4:45" x14ac:dyDescent="0.2"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4:45" x14ac:dyDescent="0.2"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4:45" x14ac:dyDescent="0.2"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4:45" x14ac:dyDescent="0.2"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4:45" x14ac:dyDescent="0.2"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4:45" x14ac:dyDescent="0.2"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4:45" x14ac:dyDescent="0.2"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4:45" x14ac:dyDescent="0.2"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4:45" x14ac:dyDescent="0.2"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4:45" x14ac:dyDescent="0.2"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4:45" x14ac:dyDescent="0.2"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4:45" x14ac:dyDescent="0.2"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4:45" x14ac:dyDescent="0.2"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4:45" x14ac:dyDescent="0.2"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4:45" x14ac:dyDescent="0.2"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4:45" x14ac:dyDescent="0.2"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4:45" x14ac:dyDescent="0.2"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4:45" x14ac:dyDescent="0.2"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4:45" x14ac:dyDescent="0.2"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4:45" x14ac:dyDescent="0.2"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4:45" x14ac:dyDescent="0.2"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4:45" x14ac:dyDescent="0.2"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4:45" x14ac:dyDescent="0.2"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4:45" x14ac:dyDescent="0.2"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4:45" x14ac:dyDescent="0.2"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4:45" x14ac:dyDescent="0.2"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4:45" x14ac:dyDescent="0.2"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4:45" x14ac:dyDescent="0.2"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4:45" x14ac:dyDescent="0.2"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4:45" x14ac:dyDescent="0.2"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4:45" x14ac:dyDescent="0.2"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4:45" x14ac:dyDescent="0.2"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4:45" x14ac:dyDescent="0.2"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4:45" x14ac:dyDescent="0.2"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4:45" x14ac:dyDescent="0.2"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4:45" x14ac:dyDescent="0.2"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4:45" x14ac:dyDescent="0.2"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4:45" x14ac:dyDescent="0.2"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4:45" x14ac:dyDescent="0.2"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4:45" x14ac:dyDescent="0.2"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4:45" x14ac:dyDescent="0.2"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4:45" x14ac:dyDescent="0.2"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4:45" x14ac:dyDescent="0.2"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4:45" x14ac:dyDescent="0.2"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4:45" x14ac:dyDescent="0.2"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4:45" x14ac:dyDescent="0.2"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4:45" x14ac:dyDescent="0.2"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4:45" x14ac:dyDescent="0.2"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4:45" x14ac:dyDescent="0.2"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4:45" x14ac:dyDescent="0.2"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4:45" x14ac:dyDescent="0.2">
      <c r="N202" s="2"/>
      <c r="O202" s="2"/>
      <c r="P202" s="2"/>
    </row>
    <row r="203" spans="14:45" x14ac:dyDescent="0.2">
      <c r="N203" s="2"/>
      <c r="O203" s="2"/>
      <c r="P203" s="2"/>
    </row>
    <row r="204" spans="14:45" x14ac:dyDescent="0.2">
      <c r="N204" s="2"/>
      <c r="O204" s="2"/>
      <c r="P204" s="2"/>
    </row>
    <row r="205" spans="14:45" x14ac:dyDescent="0.2">
      <c r="N205" s="2"/>
      <c r="O205" s="2"/>
      <c r="P205" s="2"/>
    </row>
    <row r="206" spans="14:45" x14ac:dyDescent="0.2">
      <c r="N206" s="2"/>
      <c r="O206" s="2"/>
      <c r="P206" s="2"/>
    </row>
    <row r="207" spans="14:45" x14ac:dyDescent="0.2">
      <c r="N207" s="2"/>
      <c r="O207" s="2"/>
      <c r="P207" s="2"/>
    </row>
    <row r="208" spans="14:45" x14ac:dyDescent="0.2">
      <c r="N208" s="2"/>
      <c r="O208" s="2"/>
      <c r="P208" s="2"/>
    </row>
    <row r="209" spans="14:16" x14ac:dyDescent="0.2">
      <c r="N209" s="2"/>
      <c r="O209" s="2"/>
      <c r="P209" s="2"/>
    </row>
    <row r="210" spans="14:16" x14ac:dyDescent="0.2">
      <c r="N210" s="2"/>
      <c r="O210" s="2"/>
      <c r="P210" s="2"/>
    </row>
    <row r="211" spans="14:16" x14ac:dyDescent="0.2">
      <c r="N211" s="2"/>
      <c r="O211" s="2"/>
      <c r="P211" s="2"/>
    </row>
    <row r="212" spans="14:16" x14ac:dyDescent="0.2">
      <c r="N212" s="2"/>
      <c r="O212" s="2"/>
      <c r="P212" s="2"/>
    </row>
    <row r="213" spans="14:16" x14ac:dyDescent="0.2">
      <c r="N213" s="2"/>
      <c r="O213" s="2"/>
      <c r="P213" s="2"/>
    </row>
    <row r="214" spans="14:16" x14ac:dyDescent="0.2">
      <c r="N214" s="2"/>
      <c r="O214" s="2"/>
      <c r="P214" s="2"/>
    </row>
    <row r="215" spans="14:16" x14ac:dyDescent="0.2">
      <c r="N215" s="2"/>
      <c r="O215" s="2"/>
      <c r="P215" s="2"/>
    </row>
    <row r="216" spans="14:16" x14ac:dyDescent="0.2">
      <c r="N216" s="2"/>
      <c r="O216" s="2"/>
      <c r="P216" s="2"/>
    </row>
    <row r="217" spans="14:16" x14ac:dyDescent="0.2">
      <c r="N217" s="2"/>
      <c r="O217" s="2"/>
      <c r="P217" s="2"/>
    </row>
    <row r="218" spans="14:16" x14ac:dyDescent="0.2">
      <c r="N218" s="2"/>
      <c r="O218" s="2"/>
      <c r="P218" s="2"/>
    </row>
    <row r="219" spans="14:16" x14ac:dyDescent="0.2">
      <c r="N219" s="2"/>
      <c r="O219" s="2"/>
      <c r="P219" s="2"/>
    </row>
    <row r="220" spans="14:16" x14ac:dyDescent="0.2">
      <c r="N220" s="2"/>
      <c r="O220" s="2"/>
      <c r="P220" s="2"/>
    </row>
    <row r="221" spans="14:16" x14ac:dyDescent="0.2">
      <c r="N221" s="2"/>
      <c r="O221" s="2"/>
      <c r="P221" s="2"/>
    </row>
    <row r="222" spans="14:16" x14ac:dyDescent="0.2">
      <c r="N222" s="2"/>
      <c r="O222" s="2"/>
      <c r="P222" s="2"/>
    </row>
    <row r="223" spans="14:16" x14ac:dyDescent="0.2">
      <c r="N223" s="2"/>
      <c r="O223" s="2"/>
      <c r="P223" s="2"/>
    </row>
    <row r="224" spans="14:16" x14ac:dyDescent="0.2">
      <c r="N224" s="2"/>
      <c r="O224" s="2"/>
      <c r="P224" s="2"/>
    </row>
    <row r="225" spans="14:16" x14ac:dyDescent="0.2">
      <c r="N225" s="2"/>
      <c r="O225" s="2"/>
      <c r="P225" s="2"/>
    </row>
    <row r="226" spans="14:16" x14ac:dyDescent="0.2">
      <c r="N226" s="2"/>
      <c r="O226" s="2"/>
      <c r="P226" s="2"/>
    </row>
    <row r="227" spans="14:16" x14ac:dyDescent="0.2">
      <c r="N227" s="2"/>
      <c r="O227" s="2"/>
      <c r="P227" s="2"/>
    </row>
    <row r="228" spans="14:16" x14ac:dyDescent="0.2">
      <c r="N228" s="2"/>
      <c r="O228" s="2"/>
      <c r="P228" s="2"/>
    </row>
    <row r="229" spans="14:16" x14ac:dyDescent="0.2">
      <c r="N229" s="2"/>
      <c r="O229" s="2"/>
      <c r="P229" s="2"/>
    </row>
    <row r="230" spans="14:16" x14ac:dyDescent="0.2">
      <c r="N230" s="2"/>
      <c r="O230" s="2"/>
      <c r="P230" s="2"/>
    </row>
    <row r="231" spans="14:16" x14ac:dyDescent="0.2">
      <c r="N231" s="2"/>
      <c r="O231" s="2"/>
      <c r="P231" s="2"/>
    </row>
    <row r="232" spans="14:16" x14ac:dyDescent="0.2">
      <c r="N232" s="2"/>
      <c r="O232" s="2"/>
      <c r="P232" s="2"/>
    </row>
    <row r="233" spans="14:16" x14ac:dyDescent="0.2">
      <c r="N233" s="2"/>
      <c r="O233" s="2"/>
      <c r="P233" s="2"/>
    </row>
    <row r="234" spans="14:16" x14ac:dyDescent="0.2">
      <c r="N234" s="2"/>
      <c r="O234" s="2"/>
      <c r="P234" s="2"/>
    </row>
    <row r="235" spans="14:16" x14ac:dyDescent="0.2">
      <c r="N235" s="2"/>
      <c r="O235" s="2"/>
      <c r="P235" s="2"/>
    </row>
    <row r="236" spans="14:16" x14ac:dyDescent="0.2">
      <c r="N236" s="2"/>
      <c r="O236" s="2"/>
      <c r="P236" s="2"/>
    </row>
    <row r="237" spans="14:16" x14ac:dyDescent="0.2">
      <c r="N237" s="2"/>
      <c r="O237" s="2"/>
      <c r="P237" s="2"/>
    </row>
    <row r="238" spans="14:16" x14ac:dyDescent="0.2">
      <c r="N238" s="2"/>
      <c r="O238" s="2"/>
      <c r="P238" s="2"/>
    </row>
    <row r="239" spans="14:16" x14ac:dyDescent="0.2">
      <c r="N239" s="2"/>
      <c r="O239" s="2"/>
      <c r="P239" s="2"/>
    </row>
    <row r="240" spans="14:16" x14ac:dyDescent="0.2">
      <c r="N240" s="2"/>
      <c r="O240" s="2"/>
      <c r="P240" s="2"/>
    </row>
    <row r="241" spans="14:16" x14ac:dyDescent="0.2">
      <c r="N241" s="2"/>
      <c r="O241" s="2"/>
      <c r="P241" s="2"/>
    </row>
    <row r="242" spans="14:16" x14ac:dyDescent="0.2">
      <c r="N242" s="2"/>
      <c r="O242" s="2"/>
      <c r="P242" s="2"/>
    </row>
    <row r="243" spans="14:16" x14ac:dyDescent="0.2">
      <c r="N243" s="2"/>
      <c r="O243" s="2"/>
      <c r="P243" s="2"/>
    </row>
    <row r="244" spans="14:16" x14ac:dyDescent="0.2">
      <c r="N244" s="2"/>
      <c r="O244" s="2"/>
      <c r="P244" s="2"/>
    </row>
    <row r="245" spans="14:16" x14ac:dyDescent="0.2">
      <c r="N245" s="2"/>
      <c r="O245" s="2"/>
      <c r="P245" s="2"/>
    </row>
    <row r="246" spans="14:16" x14ac:dyDescent="0.2">
      <c r="N246" s="2"/>
      <c r="O246" s="2"/>
      <c r="P246" s="2"/>
    </row>
    <row r="247" spans="14:16" x14ac:dyDescent="0.2">
      <c r="N247" s="2"/>
      <c r="O247" s="2"/>
      <c r="P247" s="2"/>
    </row>
    <row r="248" spans="14:16" x14ac:dyDescent="0.2">
      <c r="N248" s="2"/>
      <c r="O248" s="2"/>
      <c r="P248" s="2"/>
    </row>
    <row r="249" spans="14:16" x14ac:dyDescent="0.2">
      <c r="N249" s="2"/>
      <c r="O249" s="2"/>
      <c r="P249" s="2"/>
    </row>
    <row r="250" spans="14:16" x14ac:dyDescent="0.2">
      <c r="N250" s="2"/>
      <c r="O250" s="2"/>
      <c r="P250" s="2"/>
    </row>
    <row r="251" spans="14:16" x14ac:dyDescent="0.2">
      <c r="N251" s="2"/>
      <c r="O251" s="2"/>
      <c r="P251" s="2"/>
    </row>
    <row r="252" spans="14:16" x14ac:dyDescent="0.2">
      <c r="N252" s="2"/>
      <c r="O252" s="2"/>
      <c r="P252" s="2"/>
    </row>
    <row r="253" spans="14:16" x14ac:dyDescent="0.2">
      <c r="N253" s="2"/>
      <c r="O253" s="2"/>
      <c r="P253" s="2"/>
    </row>
    <row r="254" spans="14:16" x14ac:dyDescent="0.2">
      <c r="N254" s="2"/>
      <c r="P254" s="2"/>
    </row>
    <row r="255" spans="14:16" x14ac:dyDescent="0.2">
      <c r="N255" s="2"/>
      <c r="P255" s="2"/>
    </row>
    <row r="256" spans="14:16" x14ac:dyDescent="0.2">
      <c r="N256" s="2"/>
      <c r="P256" s="2"/>
    </row>
    <row r="257" spans="14:16" x14ac:dyDescent="0.2">
      <c r="N257" s="2"/>
      <c r="P257" s="2"/>
    </row>
    <row r="258" spans="14:16" x14ac:dyDescent="0.2">
      <c r="N258" s="2"/>
      <c r="P258" s="2"/>
    </row>
    <row r="259" spans="14:16" x14ac:dyDescent="0.2">
      <c r="N259" s="2"/>
      <c r="P259" s="2"/>
    </row>
    <row r="260" spans="14:16" x14ac:dyDescent="0.2">
      <c r="N260" s="2"/>
      <c r="P260" s="2"/>
    </row>
    <row r="261" spans="14:16" x14ac:dyDescent="0.2">
      <c r="N261" s="2"/>
      <c r="P261" s="2"/>
    </row>
    <row r="262" spans="14:16" x14ac:dyDescent="0.2">
      <c r="N262" s="2"/>
      <c r="P262" s="2"/>
    </row>
    <row r="263" spans="14:16" x14ac:dyDescent="0.2">
      <c r="N263" s="2"/>
      <c r="P263" s="2"/>
    </row>
    <row r="264" spans="14:16" x14ac:dyDescent="0.2">
      <c r="N264" s="2"/>
      <c r="P264" s="2"/>
    </row>
    <row r="265" spans="14:16" x14ac:dyDescent="0.2">
      <c r="N265" s="2"/>
      <c r="P265" s="2"/>
    </row>
    <row r="266" spans="14:16" x14ac:dyDescent="0.2">
      <c r="N266" s="2"/>
      <c r="P266" s="2"/>
    </row>
    <row r="267" spans="14:16" x14ac:dyDescent="0.2">
      <c r="N267" s="2"/>
      <c r="P267" s="2"/>
    </row>
    <row r="268" spans="14:16" x14ac:dyDescent="0.2">
      <c r="N268" s="2"/>
      <c r="P268" s="2"/>
    </row>
    <row r="269" spans="14:16" x14ac:dyDescent="0.2">
      <c r="N269" s="2"/>
      <c r="P269" s="2"/>
    </row>
    <row r="270" spans="14:16" x14ac:dyDescent="0.2">
      <c r="N270" s="2"/>
      <c r="P270" s="2"/>
    </row>
    <row r="271" spans="14:16" x14ac:dyDescent="0.2">
      <c r="N271" s="2"/>
      <c r="P271" s="2"/>
    </row>
    <row r="272" spans="14:16" x14ac:dyDescent="0.2">
      <c r="N272" s="2"/>
      <c r="P272" s="2"/>
    </row>
    <row r="273" spans="14:16" x14ac:dyDescent="0.2">
      <c r="N273" s="2"/>
      <c r="P273" s="2"/>
    </row>
    <row r="274" spans="14:16" x14ac:dyDescent="0.2">
      <c r="N274" s="2"/>
      <c r="P274" s="2"/>
    </row>
    <row r="275" spans="14:16" x14ac:dyDescent="0.2">
      <c r="N275" s="2"/>
      <c r="P275" s="2"/>
    </row>
    <row r="276" spans="14:16" x14ac:dyDescent="0.2">
      <c r="N276" s="2"/>
      <c r="P276" s="2"/>
    </row>
    <row r="277" spans="14:16" x14ac:dyDescent="0.2">
      <c r="N277" s="2"/>
      <c r="P277" s="2"/>
    </row>
    <row r="278" spans="14:16" x14ac:dyDescent="0.2">
      <c r="N278" s="2"/>
      <c r="P278" s="2"/>
    </row>
    <row r="279" spans="14:16" x14ac:dyDescent="0.2">
      <c r="N279" s="2"/>
      <c r="P279" s="2"/>
    </row>
    <row r="280" spans="14:16" x14ac:dyDescent="0.2">
      <c r="N280" s="2"/>
      <c r="P280" s="2"/>
    </row>
    <row r="281" spans="14:16" x14ac:dyDescent="0.2">
      <c r="N281" s="2"/>
      <c r="P281" s="2"/>
    </row>
    <row r="282" spans="14:16" x14ac:dyDescent="0.2">
      <c r="N282" s="2"/>
      <c r="P282" s="2"/>
    </row>
    <row r="283" spans="14:16" x14ac:dyDescent="0.2">
      <c r="N283" s="2"/>
      <c r="P283" s="2"/>
    </row>
    <row r="284" spans="14:16" x14ac:dyDescent="0.2">
      <c r="N284" s="2"/>
      <c r="P284" s="2"/>
    </row>
    <row r="285" spans="14:16" x14ac:dyDescent="0.2">
      <c r="N285" s="2"/>
      <c r="P285" s="2"/>
    </row>
    <row r="286" spans="14:16" x14ac:dyDescent="0.2">
      <c r="N286" s="2"/>
      <c r="P286" s="2"/>
    </row>
    <row r="287" spans="14:16" x14ac:dyDescent="0.2">
      <c r="N287" s="2"/>
      <c r="P287" s="2"/>
    </row>
    <row r="288" spans="14:16" x14ac:dyDescent="0.2">
      <c r="N288" s="2"/>
      <c r="P288" s="2"/>
    </row>
    <row r="289" spans="14:16" x14ac:dyDescent="0.2">
      <c r="N289" s="2"/>
      <c r="P289" s="2"/>
    </row>
    <row r="290" spans="14:16" x14ac:dyDescent="0.2">
      <c r="N290" s="2"/>
      <c r="P290" s="2"/>
    </row>
    <row r="291" spans="14:16" x14ac:dyDescent="0.2">
      <c r="N291" s="2"/>
      <c r="P291" s="2"/>
    </row>
    <row r="292" spans="14:16" x14ac:dyDescent="0.2">
      <c r="N292" s="2"/>
      <c r="P292" s="2"/>
    </row>
    <row r="293" spans="14:16" x14ac:dyDescent="0.2">
      <c r="N293" s="2"/>
      <c r="P293" s="2"/>
    </row>
    <row r="294" spans="14:16" x14ac:dyDescent="0.2">
      <c r="N294" s="2"/>
      <c r="P294" s="2"/>
    </row>
    <row r="295" spans="14:16" x14ac:dyDescent="0.2">
      <c r="N295" s="2"/>
      <c r="P295" s="2"/>
    </row>
    <row r="296" spans="14:16" x14ac:dyDescent="0.2">
      <c r="N296" s="2"/>
      <c r="P296" s="2"/>
    </row>
    <row r="297" spans="14:16" x14ac:dyDescent="0.2">
      <c r="N297" s="2"/>
      <c r="P297" s="2"/>
    </row>
    <row r="298" spans="14:16" x14ac:dyDescent="0.2">
      <c r="N298" s="2"/>
    </row>
    <row r="299" spans="14:16" x14ac:dyDescent="0.2">
      <c r="N299" s="2"/>
    </row>
    <row r="300" spans="14:16" x14ac:dyDescent="0.2">
      <c r="N300" s="2"/>
    </row>
    <row r="301" spans="14:16" x14ac:dyDescent="0.2">
      <c r="N301" s="2"/>
    </row>
    <row r="302" spans="14:16" x14ac:dyDescent="0.2">
      <c r="N302" s="2"/>
    </row>
    <row r="303" spans="14:16" x14ac:dyDescent="0.2">
      <c r="N303" s="2"/>
    </row>
    <row r="304" spans="14:16" x14ac:dyDescent="0.2">
      <c r="N304" s="2"/>
    </row>
    <row r="305" spans="14:14" x14ac:dyDescent="0.2">
      <c r="N305" s="2"/>
    </row>
    <row r="306" spans="14:14" x14ac:dyDescent="0.2">
      <c r="N306" s="2"/>
    </row>
    <row r="307" spans="14:14" x14ac:dyDescent="0.2">
      <c r="N307" s="2"/>
    </row>
    <row r="308" spans="14:14" x14ac:dyDescent="0.2">
      <c r="N308" s="2"/>
    </row>
    <row r="309" spans="14:14" x14ac:dyDescent="0.2">
      <c r="N309" s="2"/>
    </row>
    <row r="310" spans="14:14" x14ac:dyDescent="0.2">
      <c r="N310" s="2"/>
    </row>
    <row r="311" spans="14:14" x14ac:dyDescent="0.2">
      <c r="N311" s="2"/>
    </row>
    <row r="312" spans="14:14" x14ac:dyDescent="0.2">
      <c r="N312" s="2"/>
    </row>
    <row r="313" spans="14:14" x14ac:dyDescent="0.2">
      <c r="N313" s="2"/>
    </row>
    <row r="314" spans="14:14" x14ac:dyDescent="0.2">
      <c r="N314" s="2"/>
    </row>
    <row r="315" spans="14:14" x14ac:dyDescent="0.2">
      <c r="N315" s="2"/>
    </row>
    <row r="316" spans="14:14" x14ac:dyDescent="0.2">
      <c r="N316" s="2"/>
    </row>
    <row r="317" spans="14:14" x14ac:dyDescent="0.2">
      <c r="N317" s="2"/>
    </row>
    <row r="318" spans="14:14" x14ac:dyDescent="0.2">
      <c r="N318" s="2"/>
    </row>
    <row r="319" spans="14:14" x14ac:dyDescent="0.2">
      <c r="N319" s="2"/>
    </row>
    <row r="320" spans="14:14" x14ac:dyDescent="0.2">
      <c r="N320" s="2"/>
    </row>
    <row r="321" spans="14:14" x14ac:dyDescent="0.2">
      <c r="N321" s="2"/>
    </row>
    <row r="322" spans="14:14" x14ac:dyDescent="0.2">
      <c r="N322" s="2"/>
    </row>
    <row r="323" spans="14:14" x14ac:dyDescent="0.2">
      <c r="N323" s="2"/>
    </row>
    <row r="324" spans="14:14" x14ac:dyDescent="0.2">
      <c r="N324" s="2"/>
    </row>
    <row r="325" spans="14:14" x14ac:dyDescent="0.2">
      <c r="N325" s="2"/>
    </row>
    <row r="326" spans="14:14" x14ac:dyDescent="0.2">
      <c r="N326" s="2"/>
    </row>
    <row r="327" spans="14:14" x14ac:dyDescent="0.2">
      <c r="N327" s="2"/>
    </row>
    <row r="328" spans="14:14" x14ac:dyDescent="0.2">
      <c r="N328" s="2"/>
    </row>
    <row r="329" spans="14:14" x14ac:dyDescent="0.2">
      <c r="N329" s="2"/>
    </row>
    <row r="330" spans="14:14" x14ac:dyDescent="0.2">
      <c r="N330" s="2"/>
    </row>
    <row r="331" spans="14:14" x14ac:dyDescent="0.2">
      <c r="N331" s="2"/>
    </row>
    <row r="332" spans="14:14" x14ac:dyDescent="0.2">
      <c r="N332" s="2"/>
    </row>
    <row r="333" spans="14:14" x14ac:dyDescent="0.2">
      <c r="N333" s="2"/>
    </row>
    <row r="334" spans="14:14" x14ac:dyDescent="0.2">
      <c r="N334" s="2"/>
    </row>
    <row r="335" spans="14:14" x14ac:dyDescent="0.2">
      <c r="N335" s="2"/>
    </row>
    <row r="336" spans="14:14" x14ac:dyDescent="0.2">
      <c r="N336" s="2"/>
    </row>
    <row r="337" spans="14:14" x14ac:dyDescent="0.2">
      <c r="N337" s="2"/>
    </row>
    <row r="338" spans="14:14" x14ac:dyDescent="0.2">
      <c r="N338" s="2"/>
    </row>
    <row r="339" spans="14:14" x14ac:dyDescent="0.2">
      <c r="N339" s="2"/>
    </row>
    <row r="340" spans="14:14" x14ac:dyDescent="0.2">
      <c r="N340" s="2"/>
    </row>
    <row r="341" spans="14:14" x14ac:dyDescent="0.2">
      <c r="N341" s="2"/>
    </row>
    <row r="342" spans="14:14" x14ac:dyDescent="0.2">
      <c r="N342" s="2"/>
    </row>
    <row r="343" spans="14:14" x14ac:dyDescent="0.2">
      <c r="N343" s="2"/>
    </row>
    <row r="344" spans="14:14" x14ac:dyDescent="0.2">
      <c r="N344" s="2"/>
    </row>
    <row r="345" spans="14:14" x14ac:dyDescent="0.2">
      <c r="N345" s="2"/>
    </row>
    <row r="346" spans="14:14" x14ac:dyDescent="0.2">
      <c r="N346" s="2"/>
    </row>
    <row r="347" spans="14:14" x14ac:dyDescent="0.2">
      <c r="N347" s="2"/>
    </row>
    <row r="348" spans="14:14" x14ac:dyDescent="0.2">
      <c r="N348" s="2"/>
    </row>
    <row r="349" spans="14:14" x14ac:dyDescent="0.2">
      <c r="N349" s="2"/>
    </row>
    <row r="350" spans="14:14" x14ac:dyDescent="0.2">
      <c r="N350" s="2"/>
    </row>
    <row r="351" spans="14:14" x14ac:dyDescent="0.2">
      <c r="N351" s="2"/>
    </row>
    <row r="352" spans="14:14" x14ac:dyDescent="0.2">
      <c r="N352" s="2"/>
    </row>
    <row r="353" spans="14:14" x14ac:dyDescent="0.2">
      <c r="N353" s="2"/>
    </row>
    <row r="354" spans="14:14" x14ac:dyDescent="0.2">
      <c r="N354" s="2"/>
    </row>
    <row r="355" spans="14:14" x14ac:dyDescent="0.2">
      <c r="N355" s="2"/>
    </row>
    <row r="356" spans="14:14" x14ac:dyDescent="0.2">
      <c r="N356" s="2"/>
    </row>
    <row r="357" spans="14:14" x14ac:dyDescent="0.2">
      <c r="N357" s="2"/>
    </row>
    <row r="358" spans="14:14" x14ac:dyDescent="0.2">
      <c r="N358" s="2"/>
    </row>
    <row r="359" spans="14:14" x14ac:dyDescent="0.2">
      <c r="N359" s="2"/>
    </row>
    <row r="360" spans="14:14" x14ac:dyDescent="0.2">
      <c r="N360" s="2"/>
    </row>
    <row r="361" spans="14:14" x14ac:dyDescent="0.2">
      <c r="N361" s="2"/>
    </row>
    <row r="362" spans="14:14" x14ac:dyDescent="0.2">
      <c r="N362" s="2"/>
    </row>
    <row r="363" spans="14:14" x14ac:dyDescent="0.2">
      <c r="N363" s="2"/>
    </row>
    <row r="364" spans="14:14" x14ac:dyDescent="0.2">
      <c r="N364" s="2"/>
    </row>
    <row r="365" spans="14:14" x14ac:dyDescent="0.2">
      <c r="N365" s="2"/>
    </row>
    <row r="366" spans="14:14" x14ac:dyDescent="0.2">
      <c r="N366" s="2"/>
    </row>
    <row r="367" spans="14:14" x14ac:dyDescent="0.2">
      <c r="N367" s="2"/>
    </row>
    <row r="368" spans="14:14" x14ac:dyDescent="0.2">
      <c r="N368" s="2"/>
    </row>
  </sheetData>
  <mergeCells count="5">
    <mergeCell ref="B1:M1"/>
    <mergeCell ref="N1:P1"/>
    <mergeCell ref="AJ1:AS1"/>
    <mergeCell ref="Z1:AI1"/>
    <mergeCell ref="Q1:Y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Stadtteilprofile 2024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</dc:creator>
  <cp:lastModifiedBy>Ozzy2000 Jencom</cp:lastModifiedBy>
  <cp:lastPrinted>2023-08-17T07:07:06Z</cp:lastPrinted>
  <dcterms:created xsi:type="dcterms:W3CDTF">2011-03-23T10:49:22Z</dcterms:created>
  <dcterms:modified xsi:type="dcterms:W3CDTF">2026-05-19T18:09:07Z</dcterms:modified>
  <cp:category>LIS-Bericht</cp:category>
</cp:coreProperties>
</file>